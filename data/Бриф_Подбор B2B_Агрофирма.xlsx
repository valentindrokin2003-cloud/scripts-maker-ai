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6F90BB8-563A-4386-B7AE-1FC963BA50F8}" xr6:coauthVersionLast="36" xr6:coauthVersionMax="36" xr10:uidLastSave="{00000000-0000-0000-0000-000000000000}"/>
  <bookViews>
    <workbookView xWindow="0" yWindow="0" windowWidth="30720" windowHeight="13260" activeTab="2" xr2:uid="{00000000-000D-0000-FFFF-FFFF00000000}"/>
  </bookViews>
  <sheets>
    <sheet name="Выбор региона" sheetId="14" r:id="rId1"/>
    <sheet name="Выбор города" sheetId="13" state="hidden" r:id="rId2"/>
    <sheet name="ТЗ_Подбор В2В клиентов" sheetId="24" r:id="rId3"/>
    <sheet name="Атрибуты_Подбор В2В клиентов" sheetId="26" r:id="rId4"/>
    <sheet name="Пример_Подбор В2В клиентов" sheetId="25" r:id="rId5"/>
    <sheet name="МСС группы" sheetId="22" state="hidden" r:id="rId6"/>
  </sheets>
  <definedNames>
    <definedName name="_xlnm._FilterDatabase" localSheetId="1" hidden="1">'Выбор города'!$A$20:$B$343</definedName>
    <definedName name="_xlnm._FilterDatabase" localSheetId="0" hidden="1">'Выбор региона'!$A$11:$A$95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3" l="1"/>
  <c r="B14" i="13"/>
  <c r="B13" i="13"/>
  <c r="B12" i="13"/>
  <c r="B11" i="13"/>
  <c r="B10" i="13"/>
  <c r="B9" i="14"/>
  <c r="B16" i="13" l="1"/>
</calcChain>
</file>

<file path=xl/sharedStrings.xml><?xml version="1.0" encoding="utf-8"?>
<sst xmlns="http://schemas.openxmlformats.org/spreadsheetml/2006/main" count="2140" uniqueCount="749">
  <si>
    <t>Регион</t>
  </si>
  <si>
    <t>Выбрано городов</t>
  </si>
  <si>
    <t>Категория</t>
  </si>
  <si>
    <t>Количество</t>
  </si>
  <si>
    <t>Москва и Санкт-Петербург</t>
  </si>
  <si>
    <t>Крупнейшие</t>
  </si>
  <si>
    <t>Крупные2</t>
  </si>
  <si>
    <t>Крупные1</t>
  </si>
  <si>
    <t>Большие</t>
  </si>
  <si>
    <t>Средние</t>
  </si>
  <si>
    <t>Городов всего:</t>
  </si>
  <si>
    <t>Название города</t>
  </si>
  <si>
    <t>Население</t>
  </si>
  <si>
    <t>Категория населения</t>
  </si>
  <si>
    <t>Категория города</t>
  </si>
  <si>
    <t>Количество гексагонов</t>
  </si>
  <si>
    <t>Москва</t>
  </si>
  <si>
    <t>Ленинградская область</t>
  </si>
  <si>
    <t>Санкт-Петербург</t>
  </si>
  <si>
    <t>Новосибирская область</t>
  </si>
  <si>
    <t>Новосибирск</t>
  </si>
  <si>
    <t>свыше 1 млн</t>
  </si>
  <si>
    <t>Свердловская область</t>
  </si>
  <si>
    <t>Екатеринбург</t>
  </si>
  <si>
    <t>Республика Татарстан</t>
  </si>
  <si>
    <t>Казань</t>
  </si>
  <si>
    <t>Нижегородская область</t>
  </si>
  <si>
    <t>Нижний Новгород</t>
  </si>
  <si>
    <t>Челябинская область</t>
  </si>
  <si>
    <t>Челябинск</t>
  </si>
  <si>
    <t>Самарская область</t>
  </si>
  <si>
    <t>Самара</t>
  </si>
  <si>
    <t>Омская область</t>
  </si>
  <si>
    <t>Омск</t>
  </si>
  <si>
    <t>Ростовская область</t>
  </si>
  <si>
    <t>Ростов-на-Дону</t>
  </si>
  <si>
    <t>Республика Башкортостан</t>
  </si>
  <si>
    <t>Уфа</t>
  </si>
  <si>
    <t>Красноярский край</t>
  </si>
  <si>
    <t>Красноярск</t>
  </si>
  <si>
    <t>Воронежская область</t>
  </si>
  <si>
    <t>Воронеж</t>
  </si>
  <si>
    <t>Пермский край</t>
  </si>
  <si>
    <t>Пермь</t>
  </si>
  <si>
    <t>Волгоградская область</t>
  </si>
  <si>
    <t>Волгоград</t>
  </si>
  <si>
    <t>Краснодарский край</t>
  </si>
  <si>
    <t>Краснодар</t>
  </si>
  <si>
    <t>от 500 тыс. до 1 млн</t>
  </si>
  <si>
    <t>Саратовская область</t>
  </si>
  <si>
    <t>Саратов</t>
  </si>
  <si>
    <t>Тюменская область</t>
  </si>
  <si>
    <t>Тюмень</t>
  </si>
  <si>
    <t>Тольятти</t>
  </si>
  <si>
    <t>Удмуртская Республика</t>
  </si>
  <si>
    <t>Ижевск</t>
  </si>
  <si>
    <t>Алтайский край</t>
  </si>
  <si>
    <t>Барнаул</t>
  </si>
  <si>
    <t>Ульяновская область</t>
  </si>
  <si>
    <t>Ульяновск</t>
  </si>
  <si>
    <t>Иркутская область</t>
  </si>
  <si>
    <t>Иркутск</t>
  </si>
  <si>
    <t>Хабаровский край</t>
  </si>
  <si>
    <t>Хабаровск</t>
  </si>
  <si>
    <t>Ярославская область</t>
  </si>
  <si>
    <t>Ярославль</t>
  </si>
  <si>
    <t>Приморский край</t>
  </si>
  <si>
    <t>Владивосток</t>
  </si>
  <si>
    <t>Республика Дагестан</t>
  </si>
  <si>
    <t>Махачкала</t>
  </si>
  <si>
    <t>Томская область</t>
  </si>
  <si>
    <t>Томск</t>
  </si>
  <si>
    <t>Оренбургская область</t>
  </si>
  <si>
    <t>Оренбург</t>
  </si>
  <si>
    <t>Кемеровская область</t>
  </si>
  <si>
    <t>Кемерово</t>
  </si>
  <si>
    <t>Новокузнецк</t>
  </si>
  <si>
    <t>Рязанская область</t>
  </si>
  <si>
    <t>Рязань</t>
  </si>
  <si>
    <t>Набережные Челны</t>
  </si>
  <si>
    <t>Астраханская область</t>
  </si>
  <si>
    <t>Астрахань</t>
  </si>
  <si>
    <t>Пензенская область</t>
  </si>
  <si>
    <t>Пенза</t>
  </si>
  <si>
    <t>Кировская область</t>
  </si>
  <si>
    <t>Киров</t>
  </si>
  <si>
    <t>Липецкая область</t>
  </si>
  <si>
    <t>Липецк</t>
  </si>
  <si>
    <t>Московская область</t>
  </si>
  <si>
    <t>Балашиха</t>
  </si>
  <si>
    <t>Чувашская Республика</t>
  </si>
  <si>
    <t>Чебоксары</t>
  </si>
  <si>
    <t>от 250 тыс. до 500 тыс.</t>
  </si>
  <si>
    <t>Калининградская область</t>
  </si>
  <si>
    <t>Калининград</t>
  </si>
  <si>
    <t>Тульская область</t>
  </si>
  <si>
    <t>Тула</t>
  </si>
  <si>
    <t>Курская область</t>
  </si>
  <si>
    <t>Курск</t>
  </si>
  <si>
    <t>Ставропольский край</t>
  </si>
  <si>
    <t>Ставрополь</t>
  </si>
  <si>
    <t>Крым</t>
  </si>
  <si>
    <t>Севастополь</t>
  </si>
  <si>
    <t>Сочи</t>
  </si>
  <si>
    <t>Республика Бурятия</t>
  </si>
  <si>
    <t>Улан-Удэ</t>
  </si>
  <si>
    <t>Тверская область</t>
  </si>
  <si>
    <t>Тверь</t>
  </si>
  <si>
    <t>Магнитогорск</t>
  </si>
  <si>
    <t>Ивановская область</t>
  </si>
  <si>
    <t>Иваново</t>
  </si>
  <si>
    <t>Брянская область</t>
  </si>
  <si>
    <t>Брянск</t>
  </si>
  <si>
    <t>Белгородская область</t>
  </si>
  <si>
    <t>Белгород</t>
  </si>
  <si>
    <t>Ханты-Мансийский автономный округ - Югра</t>
  </si>
  <si>
    <t>Сургут</t>
  </si>
  <si>
    <t>Владимирская область</t>
  </si>
  <si>
    <t>Владимир</t>
  </si>
  <si>
    <t>Забайкальский край</t>
  </si>
  <si>
    <t>Чита</t>
  </si>
  <si>
    <t>Нижний Тагил</t>
  </si>
  <si>
    <t>Архангельская область</t>
  </si>
  <si>
    <t>Архангельск</t>
  </si>
  <si>
    <t>Республика Крым</t>
  </si>
  <si>
    <t>Симферополь</t>
  </si>
  <si>
    <t>Калужская область</t>
  </si>
  <si>
    <t>Калуга</t>
  </si>
  <si>
    <t>Смоленская область</t>
  </si>
  <si>
    <t>Смоленск</t>
  </si>
  <si>
    <t>Волжский</t>
  </si>
  <si>
    <t>Республика Саха (Якутия)</t>
  </si>
  <si>
    <t>Якутск</t>
  </si>
  <si>
    <t>Республика Мордовия</t>
  </si>
  <si>
    <t>Саранск</t>
  </si>
  <si>
    <t>Вологодская область</t>
  </si>
  <si>
    <t>Череповец</t>
  </si>
  <si>
    <t>Курганская область</t>
  </si>
  <si>
    <t>Курган</t>
  </si>
  <si>
    <t>Вологда</t>
  </si>
  <si>
    <t>Орловская область</t>
  </si>
  <si>
    <t>Орел</t>
  </si>
  <si>
    <t>Подольск</t>
  </si>
  <si>
    <t>Чеченская Республика</t>
  </si>
  <si>
    <t>Грозный</t>
  </si>
  <si>
    <t>Республика Северная Осетия - Алания</t>
  </si>
  <si>
    <t>Владикавказ</t>
  </si>
  <si>
    <t>Тамбовская область</t>
  </si>
  <si>
    <t>Тамбов</t>
  </si>
  <si>
    <t>Мурманская область</t>
  </si>
  <si>
    <t>Мурманск</t>
  </si>
  <si>
    <t>Республика Карелия</t>
  </si>
  <si>
    <t>Петрозаводск</t>
  </si>
  <si>
    <t>Нижневартовск</t>
  </si>
  <si>
    <t>Костромская область</t>
  </si>
  <si>
    <t>Кострома</t>
  </si>
  <si>
    <t>Стерлитамак</t>
  </si>
  <si>
    <t>Новороссийск</t>
  </si>
  <si>
    <t>Республика Марий Эл</t>
  </si>
  <si>
    <t>Йошкар-Ола</t>
  </si>
  <si>
    <t>Химки</t>
  </si>
  <si>
    <t>Таганрог</t>
  </si>
  <si>
    <t>от 100 тыс. до 250 тыс.</t>
  </si>
  <si>
    <t>Комсомольск-на-Амуре</t>
  </si>
  <si>
    <t>Республика Коми</t>
  </si>
  <si>
    <t>Сыктывкар</t>
  </si>
  <si>
    <t>Нижнекамск</t>
  </si>
  <si>
    <t>Кабардино-Балкарская Республика</t>
  </si>
  <si>
    <t>Нальчик</t>
  </si>
  <si>
    <t>Мытищи</t>
  </si>
  <si>
    <t>Шахты</t>
  </si>
  <si>
    <t>Дзержинск</t>
  </si>
  <si>
    <t>Энгельс</t>
  </si>
  <si>
    <t>Орск</t>
  </si>
  <si>
    <t>Амурская область</t>
  </si>
  <si>
    <t>Благовещенск</t>
  </si>
  <si>
    <t>Братск</t>
  </si>
  <si>
    <t>Королев</t>
  </si>
  <si>
    <t>Новгородская область</t>
  </si>
  <si>
    <t>Великий Новгород</t>
  </si>
  <si>
    <t>Ангарск</t>
  </si>
  <si>
    <t>Старый Оскол</t>
  </si>
  <si>
    <t>Псковская область</t>
  </si>
  <si>
    <t>Псков</t>
  </si>
  <si>
    <t>Люберцы</t>
  </si>
  <si>
    <t>Сахалинская область</t>
  </si>
  <si>
    <t>Южно-Сахалинск</t>
  </si>
  <si>
    <t>Бийск</t>
  </si>
  <si>
    <t>Прокопьевск</t>
  </si>
  <si>
    <t>Армавир</t>
  </si>
  <si>
    <t>Балаково</t>
  </si>
  <si>
    <t>Республика Хакасия</t>
  </si>
  <si>
    <t>Абакан</t>
  </si>
  <si>
    <t>Рыбинск</t>
  </si>
  <si>
    <t>Северодвинск</t>
  </si>
  <si>
    <t>Норильск</t>
  </si>
  <si>
    <t>Камчатский край</t>
  </si>
  <si>
    <t>Петропавловск-Камчатский</t>
  </si>
  <si>
    <t>Красногорск</t>
  </si>
  <si>
    <t>Уссурийск</t>
  </si>
  <si>
    <t>Волгодонск</t>
  </si>
  <si>
    <t>Новочеркасск</t>
  </si>
  <si>
    <t>Сызрань</t>
  </si>
  <si>
    <t>Каменск-Уральский</t>
  </si>
  <si>
    <t>Златоуст</t>
  </si>
  <si>
    <t>Альметьевск</t>
  </si>
  <si>
    <t>Электросталь</t>
  </si>
  <si>
    <t>Керчь</t>
  </si>
  <si>
    <t>Миасс</t>
  </si>
  <si>
    <t>Салават</t>
  </si>
  <si>
    <t>Пятигорск</t>
  </si>
  <si>
    <t>Копейск</t>
  </si>
  <si>
    <t>Находка</t>
  </si>
  <si>
    <t>Хасавюрт</t>
  </si>
  <si>
    <t>Рубцовск</t>
  </si>
  <si>
    <t>Республика Адыгея</t>
  </si>
  <si>
    <t>Майкоп</t>
  </si>
  <si>
    <t>Коломна</t>
  </si>
  <si>
    <t>Березники</t>
  </si>
  <si>
    <t>Домодедово</t>
  </si>
  <si>
    <t>Ковров</t>
  </si>
  <si>
    <t>Одинцово</t>
  </si>
  <si>
    <t>Нефтекамск</t>
  </si>
  <si>
    <t>Кисловодск</t>
  </si>
  <si>
    <t>Батайск</t>
  </si>
  <si>
    <t>Ханты-Мансийский автономный округ-Югра</t>
  </si>
  <si>
    <t>Нефтеюганск</t>
  </si>
  <si>
    <t>Чувашская область</t>
  </si>
  <si>
    <t>Новочебоксарск</t>
  </si>
  <si>
    <t>Серпухов</t>
  </si>
  <si>
    <t>Щелково</t>
  </si>
  <si>
    <t>Дербент</t>
  </si>
  <si>
    <t>Каспийск</t>
  </si>
  <si>
    <t>Карачаево-Черкесская Республика</t>
  </si>
  <si>
    <t>Черкесск</t>
  </si>
  <si>
    <t>Новомосковск</t>
  </si>
  <si>
    <t>Республика Ингушетия</t>
  </si>
  <si>
    <t>Назрань</t>
  </si>
  <si>
    <t>Раменское</t>
  </si>
  <si>
    <t>Первоуральск</t>
  </si>
  <si>
    <t>Республика Тыва</t>
  </si>
  <si>
    <t>Кызыл</t>
  </si>
  <si>
    <t>Орехово-Зуево</t>
  </si>
  <si>
    <t>Ямало-Ненецкий автономный округ</t>
  </si>
  <si>
    <t>Новый Уренгой</t>
  </si>
  <si>
    <t>Обнинск</t>
  </si>
  <si>
    <t>Невинномысск</t>
  </si>
  <si>
    <t>Долгопрудный</t>
  </si>
  <si>
    <t>Октябрьский</t>
  </si>
  <si>
    <t>Димитровград</t>
  </si>
  <si>
    <t>Ессентуки</t>
  </si>
  <si>
    <t>Камышин</t>
  </si>
  <si>
    <t>Евпатория</t>
  </si>
  <si>
    <t>Реутов</t>
  </si>
  <si>
    <t>Пушкино</t>
  </si>
  <si>
    <t>Жуковский</t>
  </si>
  <si>
    <t>Муром</t>
  </si>
  <si>
    <t>Ноябрьск</t>
  </si>
  <si>
    <t>Новошахтинск</t>
  </si>
  <si>
    <t>Северск</t>
  </si>
  <si>
    <t>Артем</t>
  </si>
  <si>
    <t>Ачинск</t>
  </si>
  <si>
    <t>Бердск</t>
  </si>
  <si>
    <t>Арзамас</t>
  </si>
  <si>
    <t>Ногинск</t>
  </si>
  <si>
    <t>Республика Калмыкия</t>
  </si>
  <si>
    <t>Элиста</t>
  </si>
  <si>
    <t>Елец</t>
  </si>
  <si>
    <t>Ханты-Мансийск</t>
  </si>
  <si>
    <t>Новокуйбышевск</t>
  </si>
  <si>
    <t>Железногорск</t>
  </si>
  <si>
    <t>Сергиев Посад</t>
  </si>
  <si>
    <t>Зеленодольск</t>
  </si>
  <si>
    <t>Тобольск</t>
  </si>
  <si>
    <t>от 50 тыс. до 100 тыс.</t>
  </si>
  <si>
    <t>Воткинск</t>
  </si>
  <si>
    <t>Междуреченск</t>
  </si>
  <si>
    <t>Саров</t>
  </si>
  <si>
    <t>Серов</t>
  </si>
  <si>
    <t>Михайловск</t>
  </si>
  <si>
    <t>Сарапул</t>
  </si>
  <si>
    <t>Ленинск-Кузнецкий</t>
  </si>
  <si>
    <t>Ухта</t>
  </si>
  <si>
    <t>Воскресенск</t>
  </si>
  <si>
    <t>Соликамск</t>
  </si>
  <si>
    <t>Глазов</t>
  </si>
  <si>
    <t>Магаданская область</t>
  </si>
  <si>
    <t>Магадан</t>
  </si>
  <si>
    <t>Гатчина</t>
  </si>
  <si>
    <t>Мичуринск</t>
  </si>
  <si>
    <t>Великие Луки</t>
  </si>
  <si>
    <t>Лобня</t>
  </si>
  <si>
    <t>Канск</t>
  </si>
  <si>
    <t>Каменск-Шахтинский</t>
  </si>
  <si>
    <t>Киселёвск</t>
  </si>
  <si>
    <t>Губкин</t>
  </si>
  <si>
    <t>Бузулук</t>
  </si>
  <si>
    <t>Новотроицк</t>
  </si>
  <si>
    <t>Бугульма</t>
  </si>
  <si>
    <t>Ейск</t>
  </si>
  <si>
    <t>Чайковский</t>
  </si>
  <si>
    <t>Кинешма</t>
  </si>
  <si>
    <t>Анапа</t>
  </si>
  <si>
    <t>Усть-Илимск</t>
  </si>
  <si>
    <t>Юрга</t>
  </si>
  <si>
    <t>Кузнецк</t>
  </si>
  <si>
    <t>Сверловская область</t>
  </si>
  <si>
    <t>Новоуральск</t>
  </si>
  <si>
    <t>Азов</t>
  </si>
  <si>
    <t>Клин</t>
  </si>
  <si>
    <t>Ялта</t>
  </si>
  <si>
    <t>Ивантеевка</t>
  </si>
  <si>
    <t>Озёрск</t>
  </si>
  <si>
    <t>Кропоткин</t>
  </si>
  <si>
    <t>Бор</t>
  </si>
  <si>
    <t>Геленджик</t>
  </si>
  <si>
    <t>Усолье-Сибирское</t>
  </si>
  <si>
    <t>Выборг</t>
  </si>
  <si>
    <t>Балашов</t>
  </si>
  <si>
    <t>Черногорск</t>
  </si>
  <si>
    <t>Шадринск</t>
  </si>
  <si>
    <t>Дубна</t>
  </si>
  <si>
    <t>Всеволожск</t>
  </si>
  <si>
    <t>Минеральные Воды</t>
  </si>
  <si>
    <t>Елабуга</t>
  </si>
  <si>
    <t>Новоалтайск</t>
  </si>
  <si>
    <t>Троицк</t>
  </si>
  <si>
    <t>Еврейская автономная область</t>
  </si>
  <si>
    <t>Биробиджан</t>
  </si>
  <si>
    <t>Чапаевск</t>
  </si>
  <si>
    <t>Егорьевск</t>
  </si>
  <si>
    <t>Чехов</t>
  </si>
  <si>
    <t>Белово</t>
  </si>
  <si>
    <t>Видное</t>
  </si>
  <si>
    <t>Верхняя Пышма</t>
  </si>
  <si>
    <t>Кирово-Чепецк</t>
  </si>
  <si>
    <t>Анжеро-Судженск</t>
  </si>
  <si>
    <t>Дмитров</t>
  </si>
  <si>
    <t>Туймазы</t>
  </si>
  <si>
    <t>Сосновый Бор</t>
  </si>
  <si>
    <t>Феодосия</t>
  </si>
  <si>
    <t>Минусинск</t>
  </si>
  <si>
    <t>Кстово</t>
  </si>
  <si>
    <t>Георгиевск</t>
  </si>
  <si>
    <t>Славянск-на-Кубани</t>
  </si>
  <si>
    <t>Когалым</t>
  </si>
  <si>
    <t xml:space="preserve">Сунжа </t>
  </si>
  <si>
    <t>Ступино</t>
  </si>
  <si>
    <t>Белогорск</t>
  </si>
  <si>
    <t>Буйнакск</t>
  </si>
  <si>
    <t>Кунгур</t>
  </si>
  <si>
    <t>Белорецк</t>
  </si>
  <si>
    <t>Заречный</t>
  </si>
  <si>
    <t xml:space="preserve">Мурино </t>
  </si>
  <si>
    <t>Наро-Фоминск</t>
  </si>
  <si>
    <t>Ишим</t>
  </si>
  <si>
    <t>Ишимбай</t>
  </si>
  <si>
    <t>Павловский Посад</t>
  </si>
  <si>
    <t>Республика Алтай</t>
  </si>
  <si>
    <t>Горно-Алтайск</t>
  </si>
  <si>
    <t>Гуково</t>
  </si>
  <si>
    <t>Клинцы</t>
  </si>
  <si>
    <t>Асбест</t>
  </si>
  <si>
    <t>Урус-Мартан</t>
  </si>
  <si>
    <t>Россошь</t>
  </si>
  <si>
    <t>Донской</t>
  </si>
  <si>
    <t>Котлас</t>
  </si>
  <si>
    <t>Вольск</t>
  </si>
  <si>
    <t>Лениногорск</t>
  </si>
  <si>
    <t>Зеленогорск</t>
  </si>
  <si>
    <t>Ревда</t>
  </si>
  <si>
    <t>Будённовск</t>
  </si>
  <si>
    <t>Туапсе</t>
  </si>
  <si>
    <t>Полевской</t>
  </si>
  <si>
    <t>Сибай</t>
  </si>
  <si>
    <t>Избербаш</t>
  </si>
  <si>
    <t>Лысьва</t>
  </si>
  <si>
    <t>Борисоглебск</t>
  </si>
  <si>
    <t>Фрязино</t>
  </si>
  <si>
    <t>Кумертау</t>
  </si>
  <si>
    <t>Чистополь</t>
  </si>
  <si>
    <t>Лабинск</t>
  </si>
  <si>
    <t>Лесосибирск</t>
  </si>
  <si>
    <t>Белебей</t>
  </si>
  <si>
    <t>Лыткарино</t>
  </si>
  <si>
    <t>Берёзовский</t>
  </si>
  <si>
    <t>Нягань</t>
  </si>
  <si>
    <t>Прохладный</t>
  </si>
  <si>
    <t>Тихвин</t>
  </si>
  <si>
    <t>Нерюнгри</t>
  </si>
  <si>
    <t>Крымск</t>
  </si>
  <si>
    <t>Александров</t>
  </si>
  <si>
    <t>Алексин</t>
  </si>
  <si>
    <t>Ржев</t>
  </si>
  <si>
    <t>Михайловка</t>
  </si>
  <si>
    <t>Щёкино</t>
  </si>
  <si>
    <t>Тихорецк</t>
  </si>
  <si>
    <t>Шуя</t>
  </si>
  <si>
    <t>Сальск</t>
  </si>
  <si>
    <t>Павлово</t>
  </si>
  <si>
    <t>Мелеуз</t>
  </si>
  <si>
    <t>Сертолово</t>
  </si>
  <si>
    <t>Дзержинский</t>
  </si>
  <si>
    <t>Краснотурьинск</t>
  </si>
  <si>
    <t>Искитим</t>
  </si>
  <si>
    <t>Гудермес</t>
  </si>
  <si>
    <t>Шали</t>
  </si>
  <si>
    <t>Апатиты</t>
  </si>
  <si>
    <t>Свободный</t>
  </si>
  <si>
    <t>Североморск</t>
  </si>
  <si>
    <t>Лиски</t>
  </si>
  <si>
    <t>Волжск</t>
  </si>
  <si>
    <t>Выкса</t>
  </si>
  <si>
    <t>Гусь-Хрустальный</t>
  </si>
  <si>
    <t>Воркута</t>
  </si>
  <si>
    <t>Краснокамск</t>
  </si>
  <si>
    <t>Вязьма</t>
  </si>
  <si>
    <t>Арсеньев</t>
  </si>
  <si>
    <t>Снежинск</t>
  </si>
  <si>
    <t>Жигулёвск</t>
  </si>
  <si>
    <t>Белореченск</t>
  </si>
  <si>
    <t>Краснокаменск</t>
  </si>
  <si>
    <t>Салехард</t>
  </si>
  <si>
    <t>Тимашёвск</t>
  </si>
  <si>
    <t>Кириши</t>
  </si>
  <si>
    <t>Солнечногорск</t>
  </si>
  <si>
    <t>Черемхово</t>
  </si>
  <si>
    <t>Выбрано регионов:</t>
  </si>
  <si>
    <t>2. Выберите города в регионе</t>
  </si>
  <si>
    <t>1. Выберите регион/регионы</t>
  </si>
  <si>
    <t>Пример заполнения</t>
  </si>
  <si>
    <t>Авиабилеты</t>
  </si>
  <si>
    <t>Аренда автотранспорта</t>
  </si>
  <si>
    <t>Ж/Д билеты</t>
  </si>
  <si>
    <t>Медицинские услуги</t>
  </si>
  <si>
    <t>Турагенства</t>
  </si>
  <si>
    <t>Дорожные пошлины</t>
  </si>
  <si>
    <t>Денежные переводы</t>
  </si>
  <si>
    <t>Ювелирные изделия</t>
  </si>
  <si>
    <t>Товары для строительства и ремонта/DIY</t>
  </si>
  <si>
    <t>Duty Free</t>
  </si>
  <si>
    <t>Универмаги</t>
  </si>
  <si>
    <t>Продуктовые магазины</t>
  </si>
  <si>
    <t>Автодилеры</t>
  </si>
  <si>
    <t>Автозапчасти и аксессуары</t>
  </si>
  <si>
    <t>Мебель и предметы интерьера</t>
  </si>
  <si>
    <t>Бытовая техника и электроника</t>
  </si>
  <si>
    <t>Кафе/бары/рестораны</t>
  </si>
  <si>
    <t>Аптеки</t>
  </si>
  <si>
    <t>Спорттовары</t>
  </si>
  <si>
    <t>Магазины косметики</t>
  </si>
  <si>
    <t>Табачные магазины</t>
  </si>
  <si>
    <t>Снятие наличных</t>
  </si>
  <si>
    <t>Финансовые услуги</t>
  </si>
  <si>
    <t>Чистка/ремонт одежды и обуви</t>
  </si>
  <si>
    <t>Салоты красоты/массаж/SPA</t>
  </si>
  <si>
    <t>Парковки и гаражи</t>
  </si>
  <si>
    <t>Азартные игры</t>
  </si>
  <si>
    <t>Образование</t>
  </si>
  <si>
    <t>Фастфуды</t>
  </si>
  <si>
    <t>Автосервис</t>
  </si>
  <si>
    <t>Заправки</t>
  </si>
  <si>
    <t>Доставка</t>
  </si>
  <si>
    <t>Почтовые услуги</t>
  </si>
  <si>
    <t>Прочие услуги</t>
  </si>
  <si>
    <t>Фотоуслуги</t>
  </si>
  <si>
    <t>Активные развлечения</t>
  </si>
  <si>
    <t>Зрелищные развлечения</t>
  </si>
  <si>
    <t>Музыка и искусство</t>
  </si>
  <si>
    <t>Гостиницы и санатории</t>
  </si>
  <si>
    <t>Кемпинги</t>
  </si>
  <si>
    <t>Спортивные лагеря</t>
  </si>
  <si>
    <t>Общественный транспорт</t>
  </si>
  <si>
    <t>Такси</t>
  </si>
  <si>
    <t>Детская одежда/товары для детей/игрушки</t>
  </si>
  <si>
    <t>Зоомагазины / Товары для животных</t>
  </si>
  <si>
    <t>Обувь</t>
  </si>
  <si>
    <t>Одежда и аксессуары</t>
  </si>
  <si>
    <t>Прочие товары</t>
  </si>
  <si>
    <t>Сувениры, подарки, цветы, ремесленные изделия</t>
  </si>
  <si>
    <t>Хозтовары</t>
  </si>
  <si>
    <t>Алкогольные магазины</t>
  </si>
  <si>
    <t>Универсамы</t>
  </si>
  <si>
    <t>Прочее</t>
  </si>
  <si>
    <t>Группа</t>
  </si>
  <si>
    <t>ТЗ на поиск контрагентов</t>
  </si>
  <si>
    <t>Параметр</t>
  </si>
  <si>
    <t>Рекомендуемые значения</t>
  </si>
  <si>
    <t>Комментарии по заполнению</t>
  </si>
  <si>
    <t>Вид бизнеса</t>
  </si>
  <si>
    <t>Нужны комментарии в свободной форме о том, какие виды бизнеса необходимо найти на рынке В2В</t>
  </si>
  <si>
    <t>Объем выручки</t>
  </si>
  <si>
    <r>
      <rPr>
        <sz val="14"/>
        <color rgb="FF1E1E1E"/>
        <rFont val="Calibri"/>
        <family val="2"/>
        <charset val="204"/>
      </rPr>
      <t>от</t>
    </r>
    <r>
      <rPr>
        <sz val="18"/>
        <color rgb="FF1E1E1E"/>
        <rFont val="Calibri"/>
        <family val="2"/>
      </rPr>
      <t xml:space="preserve"> 3 млн руб.</t>
    </r>
    <r>
      <rPr>
        <sz val="14"/>
        <color rgb="FF1E1E1E"/>
        <rFont val="Calibri"/>
        <family val="2"/>
        <charset val="204"/>
      </rPr>
      <t xml:space="preserve"> до</t>
    </r>
    <r>
      <rPr>
        <sz val="18"/>
        <color rgb="FF1E1E1E"/>
        <rFont val="Calibri"/>
        <family val="2"/>
      </rPr>
      <t xml:space="preserve"> 2500 млн руб. 
</t>
    </r>
    <r>
      <rPr>
        <sz val="14"/>
        <color rgb="FF1E1E1E"/>
        <rFont val="Calibri"/>
        <family val="2"/>
        <charset val="204"/>
      </rPr>
      <t>(или шире)</t>
    </r>
  </si>
  <si>
    <t>Возможны ограничения, как сверху, так и снизу и с обеих сторон. Можем использовать как последнюю доступную отчетностть, так и вероятностную модель Банка. Как вариант возможно условие о соответствии критериям МСП</t>
  </si>
  <si>
    <r>
      <rPr>
        <sz val="14"/>
        <color rgb="FF1E1E1E"/>
        <rFont val="Calibri"/>
        <family val="2"/>
        <charset val="204"/>
      </rPr>
      <t>более</t>
    </r>
    <r>
      <rPr>
        <sz val="18"/>
        <color rgb="FF1E1E1E"/>
        <rFont val="Calibri"/>
        <family val="2"/>
      </rPr>
      <t xml:space="preserve"> 7 регионов</t>
    </r>
  </si>
  <si>
    <t>Нужно указать все интересубщие регионы ведения бизнеса потенциальных клиентов. На данный момент для определения региона используем ОКАТО, готовы рассмотреть альтернативные предложения</t>
  </si>
  <si>
    <t>Анализируемый период</t>
  </si>
  <si>
    <r>
      <rPr>
        <sz val="18"/>
        <color rgb="FF1E1E1E"/>
        <rFont val="Calibri"/>
        <family val="2"/>
      </rPr>
      <t xml:space="preserve"> 6 месяцев </t>
    </r>
    <r>
      <rPr>
        <sz val="14"/>
        <color rgb="FF1E1E1E"/>
        <rFont val="Calibri"/>
        <family val="2"/>
        <charset val="204"/>
      </rPr>
      <t>и более</t>
    </r>
  </si>
  <si>
    <t>интервал времени, за который оцениваются объемы и частота транзакций целевой аудитории в соответствии с критериями, указанными в следующих строках</t>
  </si>
  <si>
    <t>Потребляемая продукция</t>
  </si>
  <si>
    <r>
      <t>7 видов продукции</t>
    </r>
    <r>
      <rPr>
        <sz val="14"/>
        <color rgb="FF1E1E1E"/>
        <rFont val="Calibri"/>
        <family val="2"/>
        <charset val="204"/>
      </rPr>
      <t xml:space="preserve"> и более</t>
    </r>
    <r>
      <rPr>
        <sz val="18"/>
        <color rgb="FF1E1E1E"/>
        <rFont val="Calibri"/>
        <family val="2"/>
      </rPr>
      <t xml:space="preserve"> </t>
    </r>
  </si>
  <si>
    <t>в свободной форме необходимо максимально подробно отразить все виды продукции, которые должен закупать потенциальный клиент на оцениваемом интервале времени</t>
  </si>
  <si>
    <t>Поставляемая продукция</t>
  </si>
  <si>
    <r>
      <t xml:space="preserve">в свободной форме необходимо максимально подробно отразить все виды продукции, которые должен </t>
    </r>
    <r>
      <rPr>
        <b/>
        <sz val="14"/>
        <color rgb="FF1E1E1E"/>
        <rFont val="Calibri"/>
        <family val="2"/>
      </rPr>
      <t>продавать</t>
    </r>
    <r>
      <rPr>
        <sz val="14"/>
        <color rgb="FF1E1E1E"/>
        <rFont val="Calibri"/>
        <family val="2"/>
      </rPr>
      <t xml:space="preserve"> потенциальный клиент на оцениваемом интервале времени</t>
    </r>
  </si>
  <si>
    <t>Минимальный объем потребления целевой продукции</t>
  </si>
  <si>
    <r>
      <t>от 300 тыс руб.</t>
    </r>
    <r>
      <rPr>
        <sz val="14"/>
        <color rgb="FF1E1E1E"/>
        <rFont val="Calibri"/>
        <family val="2"/>
        <charset val="204"/>
      </rPr>
      <t xml:space="preserve"> (или ниже)</t>
    </r>
  </si>
  <si>
    <t>Критерий материальности на оцениваемом интервале времени. Использование опционально.</t>
  </si>
  <si>
    <t>Минимальная частота потребления целевой продукции</t>
  </si>
  <si>
    <r>
      <t>от 3 закупок</t>
    </r>
    <r>
      <rPr>
        <sz val="14"/>
        <color rgb="FF1E1E1E"/>
        <rFont val="Calibri"/>
        <family val="2"/>
        <charset val="204"/>
      </rPr>
      <t xml:space="preserve"> (или ниже)</t>
    </r>
  </si>
  <si>
    <t>Минимальный объем поставок целевой продукции</t>
  </si>
  <si>
    <t>Минимальная частота поставок целевой продукции</t>
  </si>
  <si>
    <r>
      <t>от 3 поставок</t>
    </r>
    <r>
      <rPr>
        <sz val="14"/>
        <color rgb="FF1E1E1E"/>
        <rFont val="Calibri"/>
        <family val="2"/>
        <charset val="204"/>
      </rPr>
      <t xml:space="preserve"> (или ниже)</t>
    </r>
  </si>
  <si>
    <t>Исключения</t>
  </si>
  <si>
    <t>чем более качественный список исключений, тем выше ценность!</t>
  </si>
  <si>
    <t>Перечень ИНН, транзакции с которыми не должны учитываться в финальном отчете. ВАЖНО: если после учета исключений в финальный отчет попадут транзакции с менее чем 3мя контрагентами, мы не сможем предоставить такой отчет.</t>
  </si>
  <si>
    <t>ИНН</t>
  </si>
  <si>
    <t>Наименование</t>
  </si>
  <si>
    <t>ОКВЭД</t>
  </si>
  <si>
    <t>КПП</t>
  </si>
  <si>
    <t>ОГРН</t>
  </si>
  <si>
    <t>ОКПО</t>
  </si>
  <si>
    <t>Коммерческий интерес</t>
  </si>
  <si>
    <t>Потребление целевой продукции</t>
  </si>
  <si>
    <t>Поставка целевой продукции</t>
  </si>
  <si>
    <t>Контакты из открытых источников</t>
  </si>
  <si>
    <t>Блок Благонадежность</t>
  </si>
  <si>
    <t>Итоговая Оценка Благонадежности</t>
  </si>
  <si>
    <t>Блок Финансы</t>
  </si>
  <si>
    <t>(вероятность покупки целевой проудкции)</t>
  </si>
  <si>
    <t>Рейтинг объема потребления</t>
  </si>
  <si>
    <t>Рейтинг частоты потреболения</t>
  </si>
  <si>
    <t>Скор-балл</t>
  </si>
  <si>
    <t>Рейтинг объема поставок</t>
  </si>
  <si>
    <t>Рейтинг частоты поставок</t>
  </si>
  <si>
    <t>Сайт</t>
  </si>
  <si>
    <t>Телефон1</t>
  </si>
  <si>
    <t>Эл.почта1</t>
  </si>
  <si>
    <t>Статус компании</t>
  </si>
  <si>
    <t>Срок существования компании (мес.)</t>
  </si>
  <si>
    <t>Банкротство</t>
  </si>
  <si>
    <t>Арбитражные дела (тыс. руб.)</t>
  </si>
  <si>
    <t>Наличие исполнительных производств, данные по ФССП (тыс. руб.)</t>
  </si>
  <si>
    <t>Номинальность лиц принимающих решения в компании</t>
  </si>
  <si>
    <t>Фиктивность/прекращение финансово-хозяйственной деятельности</t>
  </si>
  <si>
    <t>Задолженность по налогам</t>
  </si>
  <si>
    <t>Дисквалификация лиц, входящих в состав исполнительных органов</t>
  </si>
  <si>
    <t>Недобросовестный поставщик в рамках гос. Закупок</t>
  </si>
  <si>
    <t>Динамика бизнеса</t>
  </si>
  <si>
    <t>Кредитная нагрузка</t>
  </si>
  <si>
    <t>Деловая активность</t>
  </si>
  <si>
    <t>Рентабельность</t>
  </si>
  <si>
    <t>Ликвидность</t>
  </si>
  <si>
    <t>Итоговое Финансовое состояние</t>
  </si>
  <si>
    <t>Лимит, тыс. руб.</t>
  </si>
  <si>
    <t>ИНН001</t>
  </si>
  <si>
    <t>Компания 001</t>
  </si>
  <si>
    <t>53.15</t>
  </si>
  <si>
    <t>781401001</t>
  </si>
  <si>
    <t>1107847320448</t>
  </si>
  <si>
    <t>67501881</t>
  </si>
  <si>
    <t>г. Москва</t>
  </si>
  <si>
    <t>bauprofil.ru</t>
  </si>
  <si>
    <t>8126790109</t>
  </si>
  <si>
    <t>nt@bauprofil.ru</t>
  </si>
  <si>
    <t>Действующая компания</t>
  </si>
  <si>
    <t>53</t>
  </si>
  <si>
    <t>Отсутствует информация о признаках банкротства</t>
  </si>
  <si>
    <t>339</t>
  </si>
  <si>
    <t>0</t>
  </si>
  <si>
    <t>Отсутствуют признаки номинальности руководителей</t>
  </si>
  <si>
    <t>Отсутствуют признаки фиктивности деятельности компании</t>
  </si>
  <si>
    <t>Отсутствует в списке компаний, имеющих задолженность перед ФНС</t>
  </si>
  <si>
    <t>В состав руководителей не входят дисквалифицированные лица</t>
  </si>
  <si>
    <t>Не выступает поставщиком в рамках гос. закупок</t>
  </si>
  <si>
    <t>Высокая</t>
  </si>
  <si>
    <t>Рост или Стабильное значение показателей развития бизнеса</t>
  </si>
  <si>
    <t>Умеренный уровень долговой нагрузки</t>
  </si>
  <si>
    <t>Кредиторская и дебиторская задолженность погашаются оперативно</t>
  </si>
  <si>
    <t>Достаточно свободных средств</t>
  </si>
  <si>
    <t>Возможно оперативное погашение краткосрочных обязательств</t>
  </si>
  <si>
    <t>Устойчивое</t>
  </si>
  <si>
    <t>ИНН002</t>
  </si>
  <si>
    <t>Компания 002</t>
  </si>
  <si>
    <t>34.14</t>
  </si>
  <si>
    <t>781001001</t>
  </si>
  <si>
    <t>1127847620097</t>
  </si>
  <si>
    <t>20511352</t>
  </si>
  <si>
    <t>Московская обл.</t>
  </si>
  <si>
    <t>protechnolog.ru</t>
  </si>
  <si>
    <t>8123187558</t>
  </si>
  <si>
    <t>info@protechnolog.ru</t>
  </si>
  <si>
    <t>54</t>
  </si>
  <si>
    <t>ИНН007</t>
  </si>
  <si>
    <t>Компания 007</t>
  </si>
  <si>
    <t>53.18</t>
  </si>
  <si>
    <t>470301001</t>
  </si>
  <si>
    <t>1147847254136</t>
  </si>
  <si>
    <t>43437184</t>
  </si>
  <si>
    <t>Тульская обл.</t>
  </si>
  <si>
    <t>-</t>
  </si>
  <si>
    <t>9141571858</t>
  </si>
  <si>
    <t>leg@mail.ru</t>
  </si>
  <si>
    <t>55</t>
  </si>
  <si>
    <t>ИНН018</t>
  </si>
  <si>
    <t>Компания 018</t>
  </si>
  <si>
    <t>34.22</t>
  </si>
  <si>
    <t>781701001</t>
  </si>
  <si>
    <t>1027808750760</t>
  </si>
  <si>
    <t>46928486</t>
  </si>
  <si>
    <t>isoterm.ru</t>
  </si>
  <si>
    <t>8005110670</t>
  </si>
  <si>
    <t>inbox@isoterm.ru</t>
  </si>
  <si>
    <t>56</t>
  </si>
  <si>
    <t>ИНН019</t>
  </si>
  <si>
    <t>Компания 019</t>
  </si>
  <si>
    <t>53.24</t>
  </si>
  <si>
    <t>1077847430297</t>
  </si>
  <si>
    <t>80556361</t>
  </si>
  <si>
    <t>sk51.ru</t>
  </si>
  <si>
    <t>9219432834</t>
  </si>
  <si>
    <t>57</t>
  </si>
  <si>
    <t>ИНН020</t>
  </si>
  <si>
    <t>Компания 020</t>
  </si>
  <si>
    <t>34.23</t>
  </si>
  <si>
    <t>1127847550566</t>
  </si>
  <si>
    <t>15229234</t>
  </si>
  <si>
    <t>58</t>
  </si>
  <si>
    <t>ИНН026</t>
  </si>
  <si>
    <t>Компания 026</t>
  </si>
  <si>
    <t>34.26</t>
  </si>
  <si>
    <t>59</t>
  </si>
  <si>
    <t>ИНН027</t>
  </si>
  <si>
    <t>Компания 027</t>
  </si>
  <si>
    <t>53.28</t>
  </si>
  <si>
    <t>Владимирская обл.</t>
  </si>
  <si>
    <t>www.imm.spb.ru</t>
  </si>
  <si>
    <t>8123228894</t>
  </si>
  <si>
    <t>office@imm.spb.ru</t>
  </si>
  <si>
    <t>60</t>
  </si>
  <si>
    <t>ИНН032</t>
  </si>
  <si>
    <t>Компания 032</t>
  </si>
  <si>
    <t>34.29</t>
  </si>
  <si>
    <t>Калужская обл.</t>
  </si>
  <si>
    <t>61</t>
  </si>
  <si>
    <t>ИНН033</t>
  </si>
  <si>
    <t>Компания 033</t>
  </si>
  <si>
    <t>53.31</t>
  </si>
  <si>
    <t>www.uv-systems.ru</t>
  </si>
  <si>
    <t xml:space="preserve"> 8129495358</t>
  </si>
  <si>
    <t>uv-spb@mail.ru</t>
  </si>
  <si>
    <t>62</t>
  </si>
  <si>
    <t>ИНН034</t>
  </si>
  <si>
    <t>Компания 034</t>
  </si>
  <si>
    <t>34.30</t>
  </si>
  <si>
    <t>pvkom.ru</t>
  </si>
  <si>
    <t>8123094811</t>
  </si>
  <si>
    <t>sales@pvkom.ru</t>
  </si>
  <si>
    <t>63</t>
  </si>
  <si>
    <t>ИНН043</t>
  </si>
  <si>
    <t>Компания 043</t>
  </si>
  <si>
    <t>53.36</t>
  </si>
  <si>
    <t>kapitel-vent.ru</t>
  </si>
  <si>
    <t>8126003880</t>
  </si>
  <si>
    <t>sale@kapitelvent.ru</t>
  </si>
  <si>
    <t>64</t>
  </si>
  <si>
    <t>ИНН044</t>
  </si>
  <si>
    <t>Компания 044</t>
  </si>
  <si>
    <t>34.35</t>
  </si>
  <si>
    <t>Вологодская обл.</t>
  </si>
  <si>
    <t>holodprof.net</t>
  </si>
  <si>
    <t>8126452669</t>
  </si>
  <si>
    <t>mail@holodprof.net</t>
  </si>
  <si>
    <t>65</t>
  </si>
  <si>
    <t>ИНН053</t>
  </si>
  <si>
    <t>Компания 053</t>
  </si>
  <si>
    <t>53.41</t>
  </si>
  <si>
    <t>www.dinex.net</t>
  </si>
  <si>
    <t>8126104007</t>
  </si>
  <si>
    <t>dinex@dinex.net</t>
  </si>
  <si>
    <t>66</t>
  </si>
  <si>
    <t>ИНН066</t>
  </si>
  <si>
    <t>Компания 066</t>
  </si>
  <si>
    <t>34.46</t>
  </si>
  <si>
    <t>784201001</t>
  </si>
  <si>
    <t>1109847017246</t>
  </si>
  <si>
    <t>67525462</t>
  </si>
  <si>
    <t>zpto.ru</t>
  </si>
  <si>
    <t>8124495902</t>
  </si>
  <si>
    <t>office@zpto.ru</t>
  </si>
  <si>
    <t>67</t>
  </si>
  <si>
    <t>ИНН073</t>
  </si>
  <si>
    <t>Компания 073</t>
  </si>
  <si>
    <t>53.51</t>
  </si>
  <si>
    <t>uemz.com</t>
  </si>
  <si>
    <t>8216731240</t>
  </si>
  <si>
    <t>omts@uemz.com</t>
  </si>
  <si>
    <t>68</t>
  </si>
  <si>
    <t>ИНН074</t>
  </si>
  <si>
    <t>Компания 074</t>
  </si>
  <si>
    <t>34.50</t>
  </si>
  <si>
    <t>8202596519</t>
  </si>
  <si>
    <t>69</t>
  </si>
  <si>
    <t>ИНН075</t>
  </si>
  <si>
    <t>Компания 075</t>
  </si>
  <si>
    <t>53.52</t>
  </si>
  <si>
    <t>prom-tec.net</t>
  </si>
  <si>
    <t>8122450562</t>
  </si>
  <si>
    <t>info@prom-tec.net</t>
  </si>
  <si>
    <t>70</t>
  </si>
  <si>
    <t>ИНН076</t>
  </si>
  <si>
    <t>Компания 076</t>
  </si>
  <si>
    <t>34.51</t>
  </si>
  <si>
    <t>ooo-tochnaya-stroiteljnaya-mehanika-ooo-tsm.promportal.su</t>
  </si>
  <si>
    <t>8124261102</t>
  </si>
  <si>
    <t>info@tsm-spb.com</t>
  </si>
  <si>
    <t>71</t>
  </si>
  <si>
    <t>ИНН077</t>
  </si>
  <si>
    <t>Компания 077</t>
  </si>
  <si>
    <t>53.53</t>
  </si>
  <si>
    <t>72</t>
  </si>
  <si>
    <t>ИНН078</t>
  </si>
  <si>
    <t>Компания 078</t>
  </si>
  <si>
    <t>34.52</t>
  </si>
  <si>
    <t>remfasad.com</t>
  </si>
  <si>
    <t>8123476919</t>
  </si>
  <si>
    <t>info@remfasad.com</t>
  </si>
  <si>
    <t>73</t>
  </si>
  <si>
    <t>Описание атрибутного состава отчета</t>
  </si>
  <si>
    <t>Поле</t>
  </si>
  <si>
    <t>Пример</t>
  </si>
  <si>
    <t>Описание</t>
  </si>
  <si>
    <t>данные открытых источников</t>
  </si>
  <si>
    <t>ООО СПОРТ</t>
  </si>
  <si>
    <t>33.2</t>
  </si>
  <si>
    <t>данные открытых источников (по ОКАТО)</t>
  </si>
  <si>
    <t>Рейтинг объема потребления / поставок</t>
  </si>
  <si>
    <t>значение от 1 до 5, характеризующее в порядке возрастания объем потребления/поставок целевой продукции потенциального контрагента за анализируемый период. Вся целевая аудитория упорядочивается по возрастанию объема потребления/поставок целевой продукции и делится на 5 равных групп (кол-во групп можно варьировать)</t>
  </si>
  <si>
    <t>Рейтинг частоты потребления / поставок</t>
  </si>
  <si>
    <t>значение от 1 до 5, характеризующее в порядке возрастания частоту потребления/поставок целевой продукции потенциального контрагента за анализируемый период. Вся целевая аудитория упорядочивается по возрастанию частоты потребления/поставок целевой продукции и делится на 5 равных групп (кол-во групп можно вартьировать)</t>
  </si>
  <si>
    <t>Скор-балл (z-score) по объему и частоте потребления / поставок</t>
  </si>
  <si>
    <t>индивидуальное значение от -3,000 до 3,000 по каждому потенциальному контрагенту, включенному в отчет, характеризующее привлекательность потенциального контрагента для Заказчика, исходя из оценочного объема и частоты потребления/поставок целевой продукции.</t>
  </si>
  <si>
    <t>Контакты</t>
  </si>
  <si>
    <t>Из доступных открытых источников информации в следующем формате: номер телефона, e-mail</t>
  </si>
  <si>
    <t>Реестр контрагентов приложен к письму</t>
  </si>
  <si>
    <t>за последние 36 месяцев</t>
  </si>
  <si>
    <t>от 100 тыс.рублей</t>
  </si>
  <si>
    <t>критерий не определен</t>
  </si>
  <si>
    <t>"сеянцы сосны"</t>
  </si>
  <si>
    <t>Смотрим всю РФ и даем разбивку по Регионам (Приоритет от Сибири до Дальнего Востока)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</si>
</sst>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18"/>
      <color rgb="FFFFFFFF"/>
      <name val="Calibri"/>
      <family val="2"/>
    </font>
    <font>
      <sz val="18"/>
      <color rgb="FF1E1E1E"/>
      <name val="Calibri"/>
      <family val="2"/>
    </font>
    <font>
      <sz val="14"/>
      <color rgb="FF1E1E1E"/>
      <name val="Calibri"/>
      <family val="2"/>
    </font>
    <font>
      <sz val="18"/>
      <color rgb="FF1E1E1E"/>
      <name val="Calibri"/>
      <family val="2"/>
      <charset val="204"/>
    </font>
    <font>
      <sz val="14"/>
      <color rgb="FF1E1E1E"/>
      <name val="Calibri"/>
      <family val="2"/>
      <charset val="204"/>
    </font>
    <font>
      <b/>
      <sz val="14"/>
      <color rgb="FF1E1E1E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3"/>
      <color theme="1"/>
      <name val="Calibri"/>
      <family val="2"/>
      <scheme val="minor"/>
    </font>
    <font>
      <b/>
      <sz val="13"/>
      <color indexed="8"/>
      <name val="Calibri"/>
      <family val="2"/>
      <charset val="204"/>
      <scheme val="minor"/>
    </font>
    <font>
      <sz val="12"/>
      <color indexed="8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6"/>
      <color rgb="FF1E1E1E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BA7A0"/>
        <bgColor indexed="64"/>
      </patternFill>
    </fill>
    <fill>
      <patternFill patternType="solid">
        <fgColor rgb="FFD0E1DF"/>
        <bgColor indexed="64"/>
      </patternFill>
    </fill>
    <fill>
      <patternFill patternType="solid">
        <fgColor rgb="FFE9F1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gray0625">
        <bgColor rgb="FF4BA7A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9ACD3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Font="1" applyAlignment="1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/>
    <xf numFmtId="3" fontId="1" fillId="0" borderId="0" xfId="0" applyNumberFormat="1" applyFont="1"/>
    <xf numFmtId="0" fontId="1" fillId="0" borderId="0" xfId="0" applyFont="1" applyAlignment="1">
      <alignment wrapText="1"/>
    </xf>
    <xf numFmtId="0" fontId="5" fillId="0" borderId="0" xfId="0" applyFont="1"/>
    <xf numFmtId="0" fontId="5" fillId="5" borderId="0" xfId="0" applyFont="1" applyFill="1"/>
    <xf numFmtId="0" fontId="5" fillId="5" borderId="5" xfId="0" applyFont="1" applyFill="1" applyBorder="1"/>
    <xf numFmtId="0" fontId="0" fillId="0" borderId="0" xfId="0"/>
    <xf numFmtId="0" fontId="0" fillId="0" borderId="0" xfId="0" applyBorder="1"/>
    <xf numFmtId="0" fontId="6" fillId="7" borderId="0" xfId="0" applyFont="1" applyFill="1"/>
    <xf numFmtId="0" fontId="0" fillId="7" borderId="0" xfId="0" applyFill="1"/>
    <xf numFmtId="0" fontId="7" fillId="2" borderId="2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>
      <alignment horizontal="center" vertical="center" wrapText="1" readingOrder="1"/>
    </xf>
    <xf numFmtId="0" fontId="10" fillId="3" borderId="3" xfId="0" applyFont="1" applyFill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 readingOrder="1"/>
    </xf>
    <xf numFmtId="0" fontId="9" fillId="4" borderId="4" xfId="0" applyFont="1" applyFill="1" applyBorder="1" applyAlignment="1" applyProtection="1">
      <alignment horizontal="center" vertical="center" wrapText="1" readingOrder="1"/>
      <protection locked="0"/>
    </xf>
    <xf numFmtId="0" fontId="11" fillId="4" borderId="4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 vertical="center" wrapText="1" readingOrder="1"/>
    </xf>
    <xf numFmtId="0" fontId="9" fillId="4" borderId="4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4" xfId="0" applyFont="1" applyFill="1" applyBorder="1" applyAlignment="1">
      <alignment horizontal="center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8" fillId="2" borderId="0" xfId="0" applyFont="1" applyFill="1" applyBorder="1" applyAlignment="1">
      <alignment horizontal="center" vertical="center" wrapText="1" readingOrder="1"/>
    </xf>
    <xf numFmtId="0" fontId="9" fillId="3" borderId="0" xfId="0" applyFont="1" applyFill="1" applyBorder="1" applyAlignment="1" applyProtection="1">
      <alignment horizontal="center" vertical="center" wrapText="1" readingOrder="1"/>
      <protection locked="0"/>
    </xf>
    <xf numFmtId="0" fontId="10" fillId="3" borderId="0" xfId="0" applyFont="1" applyFill="1" applyBorder="1" applyAlignment="1">
      <alignment horizontal="center" vertical="center" wrapText="1" readingOrder="1"/>
    </xf>
    <xf numFmtId="0" fontId="14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top"/>
    </xf>
    <xf numFmtId="0" fontId="0" fillId="0" borderId="0" xfId="0" applyAlignment="1">
      <alignment vertical="top"/>
    </xf>
    <xf numFmtId="0" fontId="16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left"/>
    </xf>
    <xf numFmtId="9" fontId="0" fillId="0" borderId="6" xfId="0" applyNumberFormat="1" applyBorder="1"/>
    <xf numFmtId="164" fontId="0" fillId="8" borderId="6" xfId="0" applyNumberFormat="1" applyFill="1" applyBorder="1"/>
    <xf numFmtId="164" fontId="0" fillId="9" borderId="6" xfId="0" applyNumberFormat="1" applyFill="1" applyBorder="1"/>
    <xf numFmtId="0" fontId="18" fillId="10" borderId="6" xfId="0" applyFont="1" applyFill="1" applyBorder="1" applyAlignment="1">
      <alignment horizontal="center" vertical="center" wrapText="1"/>
    </xf>
    <xf numFmtId="0" fontId="0" fillId="10" borderId="6" xfId="0" applyFill="1" applyBorder="1"/>
    <xf numFmtId="3" fontId="18" fillId="10" borderId="6" xfId="0" applyNumberFormat="1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8" fillId="12" borderId="6" xfId="0" applyFont="1" applyFill="1" applyBorder="1" applyAlignment="1">
      <alignment horizontal="center" vertical="center" wrapText="1"/>
    </xf>
    <xf numFmtId="3" fontId="18" fillId="0" borderId="6" xfId="0" applyNumberFormat="1" applyFont="1" applyBorder="1" applyAlignment="1">
      <alignment horizontal="center" vertical="center" wrapText="1"/>
    </xf>
    <xf numFmtId="0" fontId="0" fillId="9" borderId="6" xfId="0" applyFill="1" applyBorder="1"/>
    <xf numFmtId="0" fontId="0" fillId="0" borderId="8" xfId="0" applyBorder="1"/>
    <xf numFmtId="9" fontId="0" fillId="0" borderId="0" xfId="0" applyNumberFormat="1" applyBorder="1"/>
    <xf numFmtId="0" fontId="0" fillId="0" borderId="13" xfId="0" applyBorder="1"/>
    <xf numFmtId="0" fontId="7" fillId="6" borderId="2" xfId="0" applyFont="1" applyFill="1" applyBorder="1" applyAlignment="1">
      <alignment horizontal="center" vertical="center" wrapText="1" readingOrder="1"/>
    </xf>
    <xf numFmtId="0" fontId="20" fillId="3" borderId="3" xfId="0" applyFont="1" applyFill="1" applyBorder="1" applyAlignment="1">
      <alignment horizontal="center" vertical="center" wrapText="1" readingOrder="1"/>
    </xf>
    <xf numFmtId="0" fontId="20" fillId="4" borderId="4" xfId="0" applyFont="1" applyFill="1" applyBorder="1" applyAlignment="1">
      <alignment horizontal="center" vertical="center" wrapText="1" readingOrder="1"/>
    </xf>
    <xf numFmtId="0" fontId="20" fillId="3" borderId="4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left" vertical="center" wrapText="1" readingOrder="1"/>
    </xf>
    <xf numFmtId="0" fontId="10" fillId="3" borderId="4" xfId="0" applyFont="1" applyFill="1" applyBorder="1" applyAlignment="1">
      <alignment horizontal="left" vertical="center" wrapText="1" readingOrder="1"/>
    </xf>
    <xf numFmtId="0" fontId="20" fillId="3" borderId="7" xfId="0" applyFont="1" applyFill="1" applyBorder="1" applyAlignment="1">
      <alignment horizontal="center" vertical="center" wrapText="1" readingOrder="1"/>
    </xf>
    <xf numFmtId="0" fontId="10" fillId="3" borderId="7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center"/>
    </xf>
    <xf numFmtId="0" fontId="0" fillId="0" borderId="0" xfId="0"/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295B61746D846C80951116D96E77B1F.dms.sberbank.ru/1295B61746D846C80951116D96E77B1F-F14719C65090A822C5E3FF4A8F113E82-5E38C02C7C7618DE637E8C08AE9A7187/1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1295B61746D846C80951116D96E77B1F.dms.sberbank.ru/1295B61746D846C80951116D96E77B1F-F14719C65090A822C5E3FF4A8F113E82-5E38C02C7C7618DE637E8C08AE9A7187/1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http://1295B61746D846C80951116D96E77B1F.dms.sberbank.ru/1295B61746D846C80951116D96E77B1F-F14719C65090A822C5E3FF4A8F113E82-5E38C02C7C7618DE637E8C08AE9A7187/1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http://1295B61746D846C80951116D96E77B1F.dms.sberbank.ru/1295B61746D846C80951116D96E77B1F-F14719C65090A822C5E3FF4A8F113E82-5E38C02C7C7618DE637E8C08AE9A7187/1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http://1295B61746D846C80951116D96E77B1F.dms.sberbank.ru/1295B61746D846C80951116D96E77B1F-F14719C65090A822C5E3FF4A8F113E82-5E38C02C7C7618DE637E8C08AE9A7187/1.pn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http://1295B61746D846C80951116D96E77B1F.dms.sberbank.ru/1295B61746D846C80951116D96E77B1F-F14719C65090A822C5E3FF4A8F113E82-5E38C02C7C7618DE637E8C08AE9A7187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68580</xdr:rowOff>
    </xdr:from>
    <xdr:to>
      <xdr:col>3</xdr:col>
      <xdr:colOff>584446</xdr:colOff>
      <xdr:row>6</xdr:row>
      <xdr:rowOff>170180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" y="68580"/>
          <a:ext cx="3171991" cy="12113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ru-RU" sz="2000" b="1"/>
        </a:p>
        <a:p>
          <a:pPr algn="ctr"/>
          <a:r>
            <a:rPr lang="ru-RU" sz="1200" b="1"/>
            <a:t>Используйте эту страницу для выбора правильных названий</a:t>
          </a:r>
          <a:r>
            <a:rPr lang="ru-RU" sz="1200" b="1" baseline="0"/>
            <a:t> регионов</a:t>
          </a:r>
          <a:endParaRPr lang="en-GB" sz="12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1295B61746D846C80951116D96E77B1F.dms.sberbank.ru/1295B61746D846C80951116D96E77B1F-F14719C65090A822C5E3FF4A8F113E82-5E38C02C7C7618DE637E8C08AE9A7187/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25400</xdr:rowOff>
    </xdr:from>
    <xdr:to>
      <xdr:col>2</xdr:col>
      <xdr:colOff>0</xdr:colOff>
      <xdr:row>6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8580" y="25400"/>
          <a:ext cx="3276600" cy="1198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ru-RU" sz="1200" b="1" baseline="0"/>
        </a:p>
        <a:p>
          <a:pPr algn="ctr"/>
          <a:r>
            <a:rPr lang="ru-RU" sz="1200" b="1" baseline="0"/>
            <a:t>Используйте эту страницу если вам необходимо выбрать города или указать количество городов в регионе по типам</a:t>
          </a:r>
          <a:endParaRPr lang="en-GB" sz="1200" b="1"/>
        </a:p>
      </xdr:txBody>
    </xdr:sp>
    <xdr:clientData/>
  </xdr:twoCellAnchor>
  <xdr:twoCellAnchor>
    <xdr:from>
      <xdr:col>13</xdr:col>
      <xdr:colOff>266700</xdr:colOff>
      <xdr:row>0</xdr:row>
      <xdr:rowOff>22860</xdr:rowOff>
    </xdr:from>
    <xdr:to>
      <xdr:col>17</xdr:col>
      <xdr:colOff>368300</xdr:colOff>
      <xdr:row>6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937000" y="22860"/>
          <a:ext cx="481330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2000"/>
            <a:t>Обратите внимание</a:t>
          </a:r>
        </a:p>
        <a:p>
          <a:pPr algn="ctr"/>
          <a:r>
            <a:rPr lang="ru-RU" sz="1200"/>
            <a:t>анализ проводится только по городам, население которых составляет </a:t>
          </a:r>
          <a:r>
            <a:rPr lang="ru-RU" sz="1200" i="1"/>
            <a:t>более</a:t>
          </a:r>
          <a:r>
            <a:rPr lang="ru-RU" sz="1200"/>
            <a:t> 50 000 человек. Если вы не обнаружили интересующий вас город - его население менее 50 000 человек. </a:t>
          </a:r>
          <a:endParaRPr lang="en-GB" sz="12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1295B61746D846C80951116D96E77B1F.dms.sberbank.ru/1295B61746D846C80951116D96E77B1F-F14719C65090A822C5E3FF4A8F113E82-5E38C02C7C7618DE637E8C08AE9A7187/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1295B61746D846C80951116D96E77B1F.dms.sberbank.ru/1295B61746D846C80951116D96E77B1F-F14719C65090A822C5E3FF4A8F113E82-5E38C02C7C7618DE637E8C08AE9A7187/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1295B61746D846C80951116D96E77B1F.dms.sberbank.ru/1295B61746D846C80951116D96E77B1F-F14719C65090A822C5E3FF4A8F113E82-5E38C02C7C7618DE637E8C08AE9A7187/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1295B61746D846C80951116D96E77B1F.dms.sberbank.ru/1295B61746D846C80951116D96E77B1F-F14719C65090A822C5E3FF4A8F113E82-5E38C02C7C7618DE637E8C08AE9A7187/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1295B61746D846C80951116D96E77B1F.dms.sberbank.ru/1295B61746D846C80951116D96E77B1F-F14719C65090A822C5E3FF4A8F113E82-5E38C02C7C7618DE637E8C08AE9A7187/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9:C95"/>
  <sheetViews>
    <sheetView zoomScale="103" workbookViewId="0">
      <pane ySplit="11" topLeftCell="A83" activePane="bottomLeft" state="frozen"/>
      <selection pane="bottomLeft" activeCell="E92" sqref="E92"/>
    </sheetView>
  </sheetViews>
  <sheetFormatPr defaultColWidth="8.88671875" defaultRowHeight="14.4" x14ac:dyDescent="0.3"/>
  <cols>
    <col min="1" max="1" width="29.88671875" customWidth="1"/>
    <col min="3" max="3" width="0" hidden="1" customWidth="1"/>
  </cols>
  <sheetData>
    <row r="9" spans="1:3" x14ac:dyDescent="0.3">
      <c r="A9" t="s">
        <v>427</v>
      </c>
      <c r="B9">
        <f>SUBTOTAL(9,C12:C95)</f>
        <v>84</v>
      </c>
    </row>
    <row r="11" spans="1:3" x14ac:dyDescent="0.3">
      <c r="A11" s="6" t="s">
        <v>0</v>
      </c>
    </row>
    <row r="12" spans="1:3" x14ac:dyDescent="0.3">
      <c r="A12" s="1" t="s">
        <v>56</v>
      </c>
      <c r="C12">
        <v>1</v>
      </c>
    </row>
    <row r="13" spans="1:3" x14ac:dyDescent="0.3">
      <c r="A13" s="1" t="s">
        <v>174</v>
      </c>
      <c r="C13" s="2">
        <v>1</v>
      </c>
    </row>
    <row r="14" spans="1:3" x14ac:dyDescent="0.3">
      <c r="A14" s="1" t="s">
        <v>122</v>
      </c>
      <c r="C14" s="2">
        <v>1</v>
      </c>
    </row>
    <row r="15" spans="1:3" x14ac:dyDescent="0.3">
      <c r="A15" s="1" t="s">
        <v>80</v>
      </c>
      <c r="C15" s="2">
        <v>1</v>
      </c>
    </row>
    <row r="16" spans="1:3" x14ac:dyDescent="0.3">
      <c r="A16" s="1" t="s">
        <v>113</v>
      </c>
      <c r="C16" s="2">
        <v>1</v>
      </c>
    </row>
    <row r="17" spans="1:3" x14ac:dyDescent="0.3">
      <c r="A17" s="1" t="s">
        <v>111</v>
      </c>
      <c r="C17" s="2">
        <v>1</v>
      </c>
    </row>
    <row r="18" spans="1:3" x14ac:dyDescent="0.3">
      <c r="A18" s="1" t="s">
        <v>117</v>
      </c>
      <c r="C18" s="2">
        <v>1</v>
      </c>
    </row>
    <row r="19" spans="1:3" x14ac:dyDescent="0.3">
      <c r="A19" s="1" t="s">
        <v>44</v>
      </c>
      <c r="C19" s="2">
        <v>1</v>
      </c>
    </row>
    <row r="20" spans="1:3" x14ac:dyDescent="0.3">
      <c r="A20" s="1" t="s">
        <v>135</v>
      </c>
      <c r="C20" s="2">
        <v>1</v>
      </c>
    </row>
    <row r="21" spans="1:3" x14ac:dyDescent="0.3">
      <c r="A21" s="1" t="s">
        <v>40</v>
      </c>
      <c r="C21" s="2">
        <v>1</v>
      </c>
    </row>
    <row r="22" spans="1:3" x14ac:dyDescent="0.3">
      <c r="A22" s="1" t="s">
        <v>327</v>
      </c>
      <c r="C22" s="2">
        <v>1</v>
      </c>
    </row>
    <row r="23" spans="1:3" x14ac:dyDescent="0.3">
      <c r="A23" s="1" t="s">
        <v>119</v>
      </c>
      <c r="C23" s="2">
        <v>1</v>
      </c>
    </row>
    <row r="24" spans="1:3" x14ac:dyDescent="0.3">
      <c r="A24" s="1" t="s">
        <v>109</v>
      </c>
      <c r="C24" s="2">
        <v>1</v>
      </c>
    </row>
    <row r="25" spans="1:3" x14ac:dyDescent="0.3">
      <c r="A25" s="1" t="s">
        <v>60</v>
      </c>
      <c r="C25" s="2">
        <v>1</v>
      </c>
    </row>
    <row r="26" spans="1:3" x14ac:dyDescent="0.3">
      <c r="A26" s="1" t="s">
        <v>167</v>
      </c>
      <c r="C26" s="2">
        <v>1</v>
      </c>
    </row>
    <row r="27" spans="1:3" x14ac:dyDescent="0.3">
      <c r="A27" s="1" t="s">
        <v>93</v>
      </c>
      <c r="C27" s="2">
        <v>1</v>
      </c>
    </row>
    <row r="28" spans="1:3" x14ac:dyDescent="0.3">
      <c r="A28" s="1" t="s">
        <v>126</v>
      </c>
      <c r="C28" s="2">
        <v>1</v>
      </c>
    </row>
    <row r="29" spans="1:3" x14ac:dyDescent="0.3">
      <c r="A29" s="1" t="s">
        <v>196</v>
      </c>
      <c r="C29" s="2">
        <v>1</v>
      </c>
    </row>
    <row r="30" spans="1:3" x14ac:dyDescent="0.3">
      <c r="A30" s="1" t="s">
        <v>233</v>
      </c>
      <c r="C30" s="2">
        <v>1</v>
      </c>
    </row>
    <row r="31" spans="1:3" x14ac:dyDescent="0.3">
      <c r="A31" s="1" t="s">
        <v>74</v>
      </c>
      <c r="C31" s="2">
        <v>1</v>
      </c>
    </row>
    <row r="32" spans="1:3" x14ac:dyDescent="0.3">
      <c r="A32" s="1" t="s">
        <v>84</v>
      </c>
      <c r="C32" s="2">
        <v>1</v>
      </c>
    </row>
    <row r="33" spans="1:3" x14ac:dyDescent="0.3">
      <c r="A33" s="1" t="s">
        <v>154</v>
      </c>
      <c r="C33" s="2">
        <v>1</v>
      </c>
    </row>
    <row r="34" spans="1:3" x14ac:dyDescent="0.3">
      <c r="A34" s="1" t="s">
        <v>46</v>
      </c>
      <c r="C34" s="2">
        <v>1</v>
      </c>
    </row>
    <row r="35" spans="1:3" x14ac:dyDescent="0.3">
      <c r="A35" s="1" t="s">
        <v>38</v>
      </c>
      <c r="C35" s="2">
        <v>1</v>
      </c>
    </row>
    <row r="36" spans="1:3" x14ac:dyDescent="0.3">
      <c r="A36" s="1" t="s">
        <v>101</v>
      </c>
      <c r="C36" s="2">
        <v>1</v>
      </c>
    </row>
    <row r="37" spans="1:3" x14ac:dyDescent="0.3">
      <c r="A37" s="1" t="s">
        <v>137</v>
      </c>
      <c r="C37" s="2">
        <v>1</v>
      </c>
    </row>
    <row r="38" spans="1:3" x14ac:dyDescent="0.3">
      <c r="A38" s="1" t="s">
        <v>97</v>
      </c>
      <c r="C38" s="2">
        <v>1</v>
      </c>
    </row>
    <row r="39" spans="1:3" x14ac:dyDescent="0.3">
      <c r="A39" s="1" t="s">
        <v>17</v>
      </c>
      <c r="C39" s="2">
        <v>1</v>
      </c>
    </row>
    <row r="40" spans="1:3" x14ac:dyDescent="0.3">
      <c r="A40" s="1" t="s">
        <v>86</v>
      </c>
      <c r="C40" s="2">
        <v>1</v>
      </c>
    </row>
    <row r="41" spans="1:3" x14ac:dyDescent="0.3">
      <c r="A41" s="1" t="s">
        <v>286</v>
      </c>
      <c r="C41" s="2">
        <v>1</v>
      </c>
    </row>
    <row r="42" spans="1:3" x14ac:dyDescent="0.3">
      <c r="A42" s="1" t="s">
        <v>16</v>
      </c>
      <c r="C42" s="2">
        <v>1</v>
      </c>
    </row>
    <row r="43" spans="1:3" x14ac:dyDescent="0.3">
      <c r="A43" s="1" t="s">
        <v>88</v>
      </c>
      <c r="C43" s="2">
        <v>1</v>
      </c>
    </row>
    <row r="44" spans="1:3" x14ac:dyDescent="0.3">
      <c r="A44" s="1" t="s">
        <v>149</v>
      </c>
      <c r="C44" s="2">
        <v>1</v>
      </c>
    </row>
    <row r="45" spans="1:3" x14ac:dyDescent="0.3">
      <c r="A45" s="1" t="s">
        <v>26</v>
      </c>
      <c r="C45" s="2">
        <v>1</v>
      </c>
    </row>
    <row r="46" spans="1:3" x14ac:dyDescent="0.3">
      <c r="A46" s="1" t="s">
        <v>178</v>
      </c>
      <c r="C46" s="2">
        <v>1</v>
      </c>
    </row>
    <row r="47" spans="1:3" x14ac:dyDescent="0.3">
      <c r="A47" s="1" t="s">
        <v>19</v>
      </c>
      <c r="C47" s="2">
        <v>1</v>
      </c>
    </row>
    <row r="48" spans="1:3" x14ac:dyDescent="0.3">
      <c r="A48" s="1" t="s">
        <v>32</v>
      </c>
      <c r="C48" s="2">
        <v>1</v>
      </c>
    </row>
    <row r="49" spans="1:3" x14ac:dyDescent="0.3">
      <c r="A49" s="1" t="s">
        <v>72</v>
      </c>
      <c r="C49" s="2">
        <v>1</v>
      </c>
    </row>
    <row r="50" spans="1:3" x14ac:dyDescent="0.3">
      <c r="A50" s="1" t="s">
        <v>140</v>
      </c>
      <c r="C50" s="2">
        <v>1</v>
      </c>
    </row>
    <row r="51" spans="1:3" x14ac:dyDescent="0.3">
      <c r="A51" s="1" t="s">
        <v>82</v>
      </c>
      <c r="C51" s="2">
        <v>1</v>
      </c>
    </row>
    <row r="52" spans="1:3" x14ac:dyDescent="0.3">
      <c r="A52" s="1" t="s">
        <v>42</v>
      </c>
      <c r="C52" s="2">
        <v>1</v>
      </c>
    </row>
    <row r="53" spans="1:3" x14ac:dyDescent="0.3">
      <c r="A53" s="1" t="s">
        <v>66</v>
      </c>
      <c r="C53" s="2">
        <v>1</v>
      </c>
    </row>
    <row r="54" spans="1:3" x14ac:dyDescent="0.3">
      <c r="A54" s="1" t="s">
        <v>182</v>
      </c>
      <c r="C54" s="2">
        <v>1</v>
      </c>
    </row>
    <row r="55" spans="1:3" x14ac:dyDescent="0.3">
      <c r="A55" s="1" t="s">
        <v>215</v>
      </c>
      <c r="C55" s="2">
        <v>1</v>
      </c>
    </row>
    <row r="56" spans="1:3" x14ac:dyDescent="0.3">
      <c r="A56" s="1" t="s">
        <v>358</v>
      </c>
      <c r="C56" s="2">
        <v>1</v>
      </c>
    </row>
    <row r="57" spans="1:3" x14ac:dyDescent="0.3">
      <c r="A57" s="1" t="s">
        <v>36</v>
      </c>
      <c r="C57" s="2">
        <v>1</v>
      </c>
    </row>
    <row r="58" spans="1:3" x14ac:dyDescent="0.3">
      <c r="A58" s="1" t="s">
        <v>104</v>
      </c>
      <c r="C58" s="2">
        <v>1</v>
      </c>
    </row>
    <row r="59" spans="1:3" x14ac:dyDescent="0.3">
      <c r="A59" s="1" t="s">
        <v>68</v>
      </c>
      <c r="C59" s="2">
        <v>1</v>
      </c>
    </row>
    <row r="60" spans="1:3" x14ac:dyDescent="0.3">
      <c r="A60" s="1" t="s">
        <v>236</v>
      </c>
      <c r="C60" s="2">
        <v>1</v>
      </c>
    </row>
    <row r="61" spans="1:3" x14ac:dyDescent="0.3">
      <c r="A61" s="1" t="s">
        <v>265</v>
      </c>
      <c r="C61" s="2">
        <v>1</v>
      </c>
    </row>
    <row r="62" spans="1:3" x14ac:dyDescent="0.3">
      <c r="A62" s="1" t="s">
        <v>151</v>
      </c>
      <c r="C62" s="2">
        <v>1</v>
      </c>
    </row>
    <row r="63" spans="1:3" x14ac:dyDescent="0.3">
      <c r="A63" s="1" t="s">
        <v>164</v>
      </c>
      <c r="C63" s="2">
        <v>1</v>
      </c>
    </row>
    <row r="64" spans="1:3" x14ac:dyDescent="0.3">
      <c r="A64" s="1" t="s">
        <v>124</v>
      </c>
      <c r="C64" s="2">
        <v>1</v>
      </c>
    </row>
    <row r="65" spans="1:3" x14ac:dyDescent="0.3">
      <c r="A65" s="1" t="s">
        <v>158</v>
      </c>
      <c r="C65" s="2">
        <v>1</v>
      </c>
    </row>
    <row r="66" spans="1:3" x14ac:dyDescent="0.3">
      <c r="A66" s="1" t="s">
        <v>133</v>
      </c>
      <c r="C66" s="2">
        <v>1</v>
      </c>
    </row>
    <row r="67" spans="1:3" x14ac:dyDescent="0.3">
      <c r="A67" s="1" t="s">
        <v>131</v>
      </c>
      <c r="C67" s="2">
        <v>1</v>
      </c>
    </row>
    <row r="68" spans="1:3" x14ac:dyDescent="0.3">
      <c r="A68" s="1" t="s">
        <v>145</v>
      </c>
      <c r="C68" s="2">
        <v>1</v>
      </c>
    </row>
    <row r="69" spans="1:3" x14ac:dyDescent="0.3">
      <c r="A69" s="1" t="s">
        <v>24</v>
      </c>
      <c r="C69" s="2">
        <v>1</v>
      </c>
    </row>
    <row r="70" spans="1:3" x14ac:dyDescent="0.3">
      <c r="A70" s="1" t="s">
        <v>240</v>
      </c>
      <c r="C70" s="2">
        <v>1</v>
      </c>
    </row>
    <row r="71" spans="1:3" x14ac:dyDescent="0.3">
      <c r="A71" s="1" t="s">
        <v>191</v>
      </c>
      <c r="C71" s="2">
        <v>1</v>
      </c>
    </row>
    <row r="72" spans="1:3" x14ac:dyDescent="0.3">
      <c r="A72" s="1" t="s">
        <v>34</v>
      </c>
      <c r="C72" s="2">
        <v>1</v>
      </c>
    </row>
    <row r="73" spans="1:3" x14ac:dyDescent="0.3">
      <c r="A73" s="1" t="s">
        <v>77</v>
      </c>
      <c r="C73" s="2">
        <v>1</v>
      </c>
    </row>
    <row r="74" spans="1:3" x14ac:dyDescent="0.3">
      <c r="A74" s="1" t="s">
        <v>30</v>
      </c>
      <c r="C74" s="2">
        <v>1</v>
      </c>
    </row>
    <row r="75" spans="1:3" x14ac:dyDescent="0.3">
      <c r="A75" s="1" t="s">
        <v>49</v>
      </c>
      <c r="C75" s="2">
        <v>1</v>
      </c>
    </row>
    <row r="76" spans="1:3" x14ac:dyDescent="0.3">
      <c r="A76" s="1" t="s">
        <v>185</v>
      </c>
      <c r="C76" s="2">
        <v>1</v>
      </c>
    </row>
    <row r="77" spans="1:3" x14ac:dyDescent="0.3">
      <c r="A77" s="1" t="s">
        <v>22</v>
      </c>
      <c r="C77" s="2">
        <v>1</v>
      </c>
    </row>
    <row r="78" spans="1:3" x14ac:dyDescent="0.3">
      <c r="A78" s="1" t="s">
        <v>306</v>
      </c>
      <c r="C78" s="2">
        <v>1</v>
      </c>
    </row>
    <row r="79" spans="1:3" x14ac:dyDescent="0.3">
      <c r="A79" s="1" t="s">
        <v>128</v>
      </c>
      <c r="C79" s="2">
        <v>1</v>
      </c>
    </row>
    <row r="80" spans="1:3" x14ac:dyDescent="0.3">
      <c r="A80" s="1" t="s">
        <v>99</v>
      </c>
      <c r="C80" s="2">
        <v>1</v>
      </c>
    </row>
    <row r="81" spans="1:3" x14ac:dyDescent="0.3">
      <c r="A81" s="1" t="s">
        <v>147</v>
      </c>
      <c r="C81" s="2">
        <v>1</v>
      </c>
    </row>
    <row r="82" spans="1:3" x14ac:dyDescent="0.3">
      <c r="A82" s="1" t="s">
        <v>106</v>
      </c>
      <c r="C82" s="2">
        <v>1</v>
      </c>
    </row>
    <row r="83" spans="1:3" x14ac:dyDescent="0.3">
      <c r="A83" s="1" t="s">
        <v>70</v>
      </c>
      <c r="C83" s="2">
        <v>1</v>
      </c>
    </row>
    <row r="84" spans="1:3" x14ac:dyDescent="0.3">
      <c r="A84" s="1" t="s">
        <v>95</v>
      </c>
      <c r="C84" s="2">
        <v>1</v>
      </c>
    </row>
    <row r="85" spans="1:3" x14ac:dyDescent="0.3">
      <c r="A85" s="1" t="s">
        <v>51</v>
      </c>
      <c r="C85" s="2">
        <v>1</v>
      </c>
    </row>
    <row r="86" spans="1:3" x14ac:dyDescent="0.3">
      <c r="A86" s="1" t="s">
        <v>54</v>
      </c>
      <c r="C86" s="2">
        <v>1</v>
      </c>
    </row>
    <row r="87" spans="1:3" x14ac:dyDescent="0.3">
      <c r="A87" s="1" t="s">
        <v>58</v>
      </c>
      <c r="C87" s="2">
        <v>1</v>
      </c>
    </row>
    <row r="88" spans="1:3" x14ac:dyDescent="0.3">
      <c r="A88" s="1" t="s">
        <v>62</v>
      </c>
      <c r="C88" s="2">
        <v>1</v>
      </c>
    </row>
    <row r="89" spans="1:3" x14ac:dyDescent="0.3">
      <c r="A89" s="1" t="s">
        <v>115</v>
      </c>
      <c r="C89" s="2">
        <v>1</v>
      </c>
    </row>
    <row r="90" spans="1:3" x14ac:dyDescent="0.3">
      <c r="A90" s="1" t="s">
        <v>28</v>
      </c>
      <c r="C90" s="2">
        <v>1</v>
      </c>
    </row>
    <row r="91" spans="1:3" x14ac:dyDescent="0.3">
      <c r="A91" s="1" t="s">
        <v>143</v>
      </c>
      <c r="C91" s="2">
        <v>1</v>
      </c>
    </row>
    <row r="92" spans="1:3" x14ac:dyDescent="0.3">
      <c r="A92" s="1" t="s">
        <v>227</v>
      </c>
      <c r="C92" s="2">
        <v>1</v>
      </c>
    </row>
    <row r="93" spans="1:3" x14ac:dyDescent="0.3">
      <c r="A93" s="1" t="s">
        <v>90</v>
      </c>
      <c r="C93" s="2">
        <v>1</v>
      </c>
    </row>
    <row r="94" spans="1:3" x14ac:dyDescent="0.3">
      <c r="A94" s="1" t="s">
        <v>243</v>
      </c>
      <c r="C94" s="2">
        <v>1</v>
      </c>
    </row>
    <row r="95" spans="1:3" x14ac:dyDescent="0.3">
      <c r="A95" s="1" t="s">
        <v>64</v>
      </c>
      <c r="C95" s="2">
        <v>1</v>
      </c>
    </row>
  </sheetData>
  <autoFilter ref="A11:A95" xr:uid="{00000000-0009-0000-0000-000000000000}">
    <sortState ref="A12:A95">
      <sortCondition ref="A1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P344"/>
  <sheetViews>
    <sheetView topLeftCell="T1" workbookViewId="0">
      <pane ySplit="20" topLeftCell="A184" activePane="bottomLeft" state="frozen"/>
      <selection pane="bottomLeft" activeCell="X6" sqref="X6"/>
    </sheetView>
  </sheetViews>
  <sheetFormatPr defaultColWidth="8.88671875" defaultRowHeight="14.4" outlineLevelRow="1" x14ac:dyDescent="0.3"/>
  <cols>
    <col min="1" max="1" width="28.5546875" customWidth="1"/>
    <col min="2" max="2" width="26.5546875" customWidth="1"/>
    <col min="3" max="3" width="14.109375" hidden="1" customWidth="1"/>
    <col min="4" max="4" width="21" hidden="1" customWidth="1"/>
    <col min="5" max="13" width="14.109375" hidden="1" customWidth="1"/>
    <col min="14" max="14" width="14.109375" customWidth="1"/>
    <col min="16" max="16" width="3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69" t="s">
        <v>1</v>
      </c>
      <c r="B8" s="70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3" t="s">
        <v>2</v>
      </c>
      <c r="B9" s="3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outlineLevel="1" x14ac:dyDescent="0.3">
      <c r="A10" s="4" t="s">
        <v>4</v>
      </c>
      <c r="B10" s="1">
        <f>SUBTOTAL(9,G21:G343)</f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outlineLevel="1" x14ac:dyDescent="0.3">
      <c r="A11" s="4" t="s">
        <v>5</v>
      </c>
      <c r="B11" s="1">
        <f>SUBTOTAL(9,H21:H343)</f>
        <v>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outlineLevel="1" x14ac:dyDescent="0.3">
      <c r="A12" s="4" t="s">
        <v>6</v>
      </c>
      <c r="B12" s="1">
        <f>SUBTOTAL(9,I21:I343)</f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outlineLevel="1" x14ac:dyDescent="0.3">
      <c r="A13" s="4" t="s">
        <v>7</v>
      </c>
      <c r="B13" s="1">
        <f>SUBTOTAL(9,J21:J343)</f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outlineLevel="1" x14ac:dyDescent="0.3">
      <c r="A14" s="4" t="s">
        <v>8</v>
      </c>
      <c r="B14" s="1">
        <f>SUBTOTAL(9,K21:K343)</f>
        <v>95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outlineLevel="1" x14ac:dyDescent="0.3">
      <c r="A15" s="4" t="s">
        <v>9</v>
      </c>
      <c r="B15" s="1">
        <f>SUBTOTAL(9,L21:L343)</f>
        <v>150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4" t="s">
        <v>10</v>
      </c>
      <c r="B16" s="1">
        <f>SUM(B10:B15)</f>
        <v>323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3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6" x14ac:dyDescent="0.3">
      <c r="A19" s="1" t="s">
        <v>429</v>
      </c>
      <c r="B19" s="1" t="s">
        <v>428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6" ht="18" x14ac:dyDescent="0.35">
      <c r="A20" s="6" t="s">
        <v>0</v>
      </c>
      <c r="B20" s="6" t="s">
        <v>11</v>
      </c>
      <c r="C20" s="7" t="s">
        <v>12</v>
      </c>
      <c r="D20" s="7" t="s">
        <v>13</v>
      </c>
      <c r="E20" s="7" t="s">
        <v>14</v>
      </c>
      <c r="F20" s="7" t="s">
        <v>15</v>
      </c>
      <c r="G20" s="4" t="s">
        <v>4</v>
      </c>
      <c r="H20" s="4" t="s">
        <v>5</v>
      </c>
      <c r="I20" s="4" t="s">
        <v>6</v>
      </c>
      <c r="J20" s="4" t="s">
        <v>7</v>
      </c>
      <c r="K20" s="4" t="s">
        <v>8</v>
      </c>
      <c r="L20" s="4" t="s">
        <v>9</v>
      </c>
      <c r="M20" s="1"/>
      <c r="P20" s="6"/>
    </row>
    <row r="21" spans="1:16" x14ac:dyDescent="0.3">
      <c r="A21" s="1" t="s">
        <v>16</v>
      </c>
      <c r="B21" s="1" t="s">
        <v>16</v>
      </c>
      <c r="C21" s="8">
        <v>12678079</v>
      </c>
      <c r="D21" s="4" t="s">
        <v>4</v>
      </c>
      <c r="E21" s="4" t="s">
        <v>4</v>
      </c>
      <c r="F21" s="4">
        <v>254632</v>
      </c>
      <c r="G21" s="4">
        <v>1</v>
      </c>
      <c r="M21" s="1"/>
      <c r="P21" s="1"/>
    </row>
    <row r="22" spans="1:16" x14ac:dyDescent="0.3">
      <c r="A22" s="1" t="s">
        <v>17</v>
      </c>
      <c r="B22" s="1" t="s">
        <v>18</v>
      </c>
      <c r="C22" s="8">
        <v>5398064</v>
      </c>
      <c r="D22" s="4" t="s">
        <v>4</v>
      </c>
      <c r="E22" s="4" t="s">
        <v>4</v>
      </c>
      <c r="F22" s="4">
        <v>296447</v>
      </c>
      <c r="G22" s="4">
        <v>1</v>
      </c>
      <c r="M22" s="1"/>
      <c r="P22" s="1"/>
    </row>
    <row r="23" spans="1:16" x14ac:dyDescent="0.3">
      <c r="A23" s="1" t="s">
        <v>19</v>
      </c>
      <c r="B23" s="1" t="s">
        <v>20</v>
      </c>
      <c r="C23" s="8">
        <v>1625631</v>
      </c>
      <c r="D23" s="4" t="s">
        <v>21</v>
      </c>
      <c r="E23" s="4" t="s">
        <v>5</v>
      </c>
      <c r="F23" s="4">
        <v>23428</v>
      </c>
      <c r="H23" s="4">
        <v>1</v>
      </c>
      <c r="M23" s="1"/>
      <c r="P23" s="1"/>
    </row>
    <row r="24" spans="1:16" x14ac:dyDescent="0.3">
      <c r="A24" s="1" t="s">
        <v>22</v>
      </c>
      <c r="B24" s="1" t="s">
        <v>23</v>
      </c>
      <c r="C24" s="8">
        <v>1493749</v>
      </c>
      <c r="D24" s="4" t="s">
        <v>21</v>
      </c>
      <c r="E24" s="4" t="s">
        <v>5</v>
      </c>
      <c r="F24" s="4">
        <v>23428</v>
      </c>
      <c r="H24" s="4">
        <v>1</v>
      </c>
      <c r="M24" s="1"/>
      <c r="P24" s="1"/>
    </row>
    <row r="25" spans="1:16" x14ac:dyDescent="0.3">
      <c r="A25" s="1" t="s">
        <v>24</v>
      </c>
      <c r="B25" s="1" t="s">
        <v>25</v>
      </c>
      <c r="C25" s="8">
        <v>1257391</v>
      </c>
      <c r="D25" s="4" t="s">
        <v>21</v>
      </c>
      <c r="E25" s="4" t="s">
        <v>5</v>
      </c>
      <c r="F25" s="4">
        <v>23428</v>
      </c>
      <c r="H25" s="4">
        <v>1</v>
      </c>
      <c r="M25" s="1"/>
      <c r="P25" s="1"/>
    </row>
    <row r="26" spans="1:16" x14ac:dyDescent="0.3">
      <c r="A26" s="1" t="s">
        <v>26</v>
      </c>
      <c r="B26" s="1" t="s">
        <v>27</v>
      </c>
      <c r="C26" s="8">
        <v>1252236</v>
      </c>
      <c r="D26" s="4" t="s">
        <v>21</v>
      </c>
      <c r="E26" s="4" t="s">
        <v>5</v>
      </c>
      <c r="F26" s="4">
        <v>23428</v>
      </c>
      <c r="H26" s="4">
        <v>1</v>
      </c>
      <c r="M26" s="1"/>
      <c r="P26" s="1"/>
    </row>
    <row r="27" spans="1:16" x14ac:dyDescent="0.3">
      <c r="A27" s="1" t="s">
        <v>28</v>
      </c>
      <c r="B27" s="1" t="s">
        <v>29</v>
      </c>
      <c r="C27" s="8">
        <v>1196680</v>
      </c>
      <c r="D27" s="4" t="s">
        <v>21</v>
      </c>
      <c r="E27" s="4" t="s">
        <v>5</v>
      </c>
      <c r="F27" s="4">
        <v>23428</v>
      </c>
      <c r="H27" s="4">
        <v>1</v>
      </c>
      <c r="M27" s="1"/>
      <c r="P27" s="1"/>
    </row>
    <row r="28" spans="1:16" x14ac:dyDescent="0.3">
      <c r="A28" s="1" t="s">
        <v>30</v>
      </c>
      <c r="B28" s="1" t="s">
        <v>31</v>
      </c>
      <c r="C28" s="8">
        <v>1156659</v>
      </c>
      <c r="D28" s="4" t="s">
        <v>21</v>
      </c>
      <c r="E28" s="4" t="s">
        <v>5</v>
      </c>
      <c r="F28" s="4">
        <v>23428</v>
      </c>
      <c r="H28" s="4">
        <v>1</v>
      </c>
      <c r="M28" s="1"/>
      <c r="P28" s="1"/>
    </row>
    <row r="29" spans="1:16" x14ac:dyDescent="0.3">
      <c r="A29" s="1" t="s">
        <v>32</v>
      </c>
      <c r="B29" s="1" t="s">
        <v>33</v>
      </c>
      <c r="C29" s="8">
        <v>1154507</v>
      </c>
      <c r="D29" s="4" t="s">
        <v>21</v>
      </c>
      <c r="E29" s="4" t="s">
        <v>5</v>
      </c>
      <c r="F29" s="4">
        <v>23428</v>
      </c>
      <c r="H29" s="4">
        <v>1</v>
      </c>
      <c r="M29" s="1"/>
      <c r="P29" s="1"/>
    </row>
    <row r="30" spans="1:16" x14ac:dyDescent="0.3">
      <c r="A30" s="1" t="s">
        <v>34</v>
      </c>
      <c r="B30" s="1" t="s">
        <v>35</v>
      </c>
      <c r="C30" s="8">
        <v>1137904</v>
      </c>
      <c r="D30" s="4" t="s">
        <v>21</v>
      </c>
      <c r="E30" s="4" t="s">
        <v>5</v>
      </c>
      <c r="F30" s="4">
        <v>23428</v>
      </c>
      <c r="H30" s="4">
        <v>1</v>
      </c>
      <c r="M30" s="1"/>
      <c r="P30" s="1"/>
    </row>
    <row r="31" spans="1:16" x14ac:dyDescent="0.3">
      <c r="A31" s="1" t="s">
        <v>36</v>
      </c>
      <c r="B31" s="1" t="s">
        <v>37</v>
      </c>
      <c r="C31" s="8">
        <v>1128787</v>
      </c>
      <c r="D31" s="4" t="s">
        <v>21</v>
      </c>
      <c r="E31" s="4" t="s">
        <v>5</v>
      </c>
      <c r="F31" s="4">
        <v>23428</v>
      </c>
      <c r="H31" s="4">
        <v>1</v>
      </c>
      <c r="M31" s="1"/>
      <c r="P31" s="1"/>
    </row>
    <row r="32" spans="1:16" x14ac:dyDescent="0.3">
      <c r="A32" s="1" t="s">
        <v>38</v>
      </c>
      <c r="B32" s="1" t="s">
        <v>39</v>
      </c>
      <c r="C32" s="8">
        <v>1093771</v>
      </c>
      <c r="D32" s="4" t="s">
        <v>21</v>
      </c>
      <c r="E32" s="4" t="s">
        <v>5</v>
      </c>
      <c r="F32" s="4">
        <v>23428</v>
      </c>
      <c r="H32" s="4">
        <v>1</v>
      </c>
      <c r="M32" s="1"/>
      <c r="P32" s="1"/>
    </row>
    <row r="33" spans="1:16" x14ac:dyDescent="0.3">
      <c r="A33" s="1" t="s">
        <v>40</v>
      </c>
      <c r="B33" s="1" t="s">
        <v>41</v>
      </c>
      <c r="C33" s="8">
        <v>1058261</v>
      </c>
      <c r="D33" s="4" t="s">
        <v>21</v>
      </c>
      <c r="E33" s="4" t="s">
        <v>5</v>
      </c>
      <c r="F33" s="4">
        <v>23428</v>
      </c>
      <c r="H33" s="4">
        <v>1</v>
      </c>
      <c r="M33" s="1"/>
      <c r="P33" s="1"/>
    </row>
    <row r="34" spans="1:16" x14ac:dyDescent="0.3">
      <c r="A34" s="1" t="s">
        <v>42</v>
      </c>
      <c r="B34" s="1" t="s">
        <v>43</v>
      </c>
      <c r="C34" s="8">
        <v>1055397</v>
      </c>
      <c r="D34" s="4" t="s">
        <v>21</v>
      </c>
      <c r="E34" s="4" t="s">
        <v>5</v>
      </c>
      <c r="F34" s="4">
        <v>23428</v>
      </c>
      <c r="H34" s="4">
        <v>1</v>
      </c>
      <c r="M34" s="1"/>
      <c r="P34" s="1"/>
    </row>
    <row r="35" spans="1:16" x14ac:dyDescent="0.3">
      <c r="A35" s="1" t="s">
        <v>44</v>
      </c>
      <c r="B35" s="1" t="s">
        <v>45</v>
      </c>
      <c r="C35" s="8">
        <v>1008998</v>
      </c>
      <c r="D35" s="4" t="s">
        <v>21</v>
      </c>
      <c r="E35" s="4" t="s">
        <v>5</v>
      </c>
      <c r="F35" s="4">
        <v>23428</v>
      </c>
      <c r="H35" s="4">
        <v>1</v>
      </c>
      <c r="M35" s="1"/>
      <c r="P35" s="1"/>
    </row>
    <row r="36" spans="1:16" x14ac:dyDescent="0.3">
      <c r="A36" s="1" t="s">
        <v>46</v>
      </c>
      <c r="B36" s="1" t="s">
        <v>47</v>
      </c>
      <c r="C36" s="8">
        <v>932629</v>
      </c>
      <c r="D36" s="4" t="s">
        <v>48</v>
      </c>
      <c r="E36" s="4" t="s">
        <v>6</v>
      </c>
      <c r="F36" s="4">
        <v>9875</v>
      </c>
      <c r="I36" s="4">
        <v>1</v>
      </c>
      <c r="M36" s="1"/>
      <c r="P36" s="1"/>
    </row>
    <row r="37" spans="1:16" x14ac:dyDescent="0.3">
      <c r="A37" s="1" t="s">
        <v>49</v>
      </c>
      <c r="B37" s="1" t="s">
        <v>50</v>
      </c>
      <c r="C37" s="8">
        <v>838042</v>
      </c>
      <c r="D37" s="4" t="s">
        <v>48</v>
      </c>
      <c r="E37" s="4" t="s">
        <v>6</v>
      </c>
      <c r="F37" s="4">
        <v>9875</v>
      </c>
      <c r="I37" s="4">
        <v>1</v>
      </c>
      <c r="M37" s="1"/>
      <c r="P37" s="1"/>
    </row>
    <row r="38" spans="1:16" x14ac:dyDescent="0.3">
      <c r="A38" s="1" t="s">
        <v>51</v>
      </c>
      <c r="B38" s="1" t="s">
        <v>52</v>
      </c>
      <c r="C38" s="8">
        <v>807271</v>
      </c>
      <c r="D38" s="4" t="s">
        <v>48</v>
      </c>
      <c r="E38" s="4" t="s">
        <v>6</v>
      </c>
      <c r="F38" s="4">
        <v>9875</v>
      </c>
      <c r="I38" s="4">
        <v>1</v>
      </c>
      <c r="M38" s="1"/>
      <c r="P38" s="1"/>
    </row>
    <row r="39" spans="1:16" x14ac:dyDescent="0.3">
      <c r="A39" s="1" t="s">
        <v>30</v>
      </c>
      <c r="B39" s="1" t="s">
        <v>53</v>
      </c>
      <c r="C39" s="8">
        <v>699367</v>
      </c>
      <c r="D39" s="4" t="s">
        <v>48</v>
      </c>
      <c r="E39" s="4" t="s">
        <v>6</v>
      </c>
      <c r="F39" s="4">
        <v>9875</v>
      </c>
      <c r="I39" s="4">
        <v>1</v>
      </c>
      <c r="M39" s="1"/>
      <c r="P39" s="1"/>
    </row>
    <row r="40" spans="1:16" x14ac:dyDescent="0.3">
      <c r="A40" s="1" t="s">
        <v>54</v>
      </c>
      <c r="B40" s="1" t="s">
        <v>55</v>
      </c>
      <c r="C40" s="8">
        <v>648146</v>
      </c>
      <c r="D40" s="4" t="s">
        <v>48</v>
      </c>
      <c r="E40" s="4" t="s">
        <v>6</v>
      </c>
      <c r="F40" s="4">
        <v>9875</v>
      </c>
      <c r="I40" s="4">
        <v>1</v>
      </c>
      <c r="M40" s="1"/>
      <c r="P40" s="1"/>
    </row>
    <row r="41" spans="1:16" x14ac:dyDescent="0.3">
      <c r="A41" s="1" t="s">
        <v>56</v>
      </c>
      <c r="B41" s="1" t="s">
        <v>57</v>
      </c>
      <c r="C41" s="8">
        <v>632391</v>
      </c>
      <c r="D41" s="4" t="s">
        <v>48</v>
      </c>
      <c r="E41" s="4" t="s">
        <v>6</v>
      </c>
      <c r="F41" s="4">
        <v>9875</v>
      </c>
      <c r="I41" s="4">
        <v>1</v>
      </c>
      <c r="M41" s="1"/>
      <c r="P41" s="1"/>
    </row>
    <row r="42" spans="1:16" ht="14.4" customHeight="1" x14ac:dyDescent="0.3">
      <c r="A42" s="1" t="s">
        <v>58</v>
      </c>
      <c r="B42" s="1" t="s">
        <v>59</v>
      </c>
      <c r="C42" s="8">
        <v>627705</v>
      </c>
      <c r="D42" s="4" t="s">
        <v>48</v>
      </c>
      <c r="E42" s="4" t="s">
        <v>6</v>
      </c>
      <c r="F42" s="4">
        <v>9875</v>
      </c>
      <c r="I42" s="4">
        <v>1</v>
      </c>
      <c r="M42" s="1"/>
      <c r="P42" s="1"/>
    </row>
    <row r="43" spans="1:16" ht="14.4" customHeight="1" x14ac:dyDescent="0.3">
      <c r="A43" s="1" t="s">
        <v>60</v>
      </c>
      <c r="B43" s="1" t="s">
        <v>61</v>
      </c>
      <c r="C43" s="8">
        <v>623562</v>
      </c>
      <c r="D43" s="4" t="s">
        <v>48</v>
      </c>
      <c r="E43" s="4" t="s">
        <v>6</v>
      </c>
      <c r="F43" s="4">
        <v>9875</v>
      </c>
      <c r="I43" s="4">
        <v>1</v>
      </c>
      <c r="M43" s="1"/>
      <c r="P43" s="1"/>
    </row>
    <row r="44" spans="1:16" ht="14.4" customHeight="1" x14ac:dyDescent="0.3">
      <c r="A44" s="1" t="s">
        <v>62</v>
      </c>
      <c r="B44" s="1" t="s">
        <v>63</v>
      </c>
      <c r="C44" s="8">
        <v>616372</v>
      </c>
      <c r="D44" s="4" t="s">
        <v>48</v>
      </c>
      <c r="E44" s="4" t="s">
        <v>6</v>
      </c>
      <c r="F44" s="4">
        <v>9875</v>
      </c>
      <c r="I44" s="4">
        <v>1</v>
      </c>
      <c r="M44" s="1"/>
      <c r="P44" s="1"/>
    </row>
    <row r="45" spans="1:16" ht="14.4" customHeight="1" x14ac:dyDescent="0.3">
      <c r="A45" s="1" t="s">
        <v>64</v>
      </c>
      <c r="B45" s="1" t="s">
        <v>65</v>
      </c>
      <c r="C45" s="8">
        <v>608353</v>
      </c>
      <c r="D45" s="4" t="s">
        <v>48</v>
      </c>
      <c r="E45" s="4" t="s">
        <v>6</v>
      </c>
      <c r="F45" s="4">
        <v>9875</v>
      </c>
      <c r="I45" s="4">
        <v>1</v>
      </c>
      <c r="M45" s="1"/>
      <c r="P45" s="1"/>
    </row>
    <row r="46" spans="1:16" ht="14.4" customHeight="1" x14ac:dyDescent="0.3">
      <c r="A46" s="1" t="s">
        <v>66</v>
      </c>
      <c r="B46" s="1" t="s">
        <v>67</v>
      </c>
      <c r="C46" s="8">
        <v>606561</v>
      </c>
      <c r="D46" s="4" t="s">
        <v>48</v>
      </c>
      <c r="E46" s="4" t="s">
        <v>6</v>
      </c>
      <c r="F46" s="4">
        <v>9875</v>
      </c>
      <c r="I46" s="4">
        <v>1</v>
      </c>
      <c r="M46" s="1"/>
      <c r="P46" s="1"/>
    </row>
    <row r="47" spans="1:16" ht="14.4" customHeight="1" x14ac:dyDescent="0.3">
      <c r="A47" s="1" t="s">
        <v>68</v>
      </c>
      <c r="B47" s="1" t="s">
        <v>69</v>
      </c>
      <c r="C47" s="8">
        <v>603518</v>
      </c>
      <c r="D47" s="4" t="s">
        <v>48</v>
      </c>
      <c r="E47" s="4" t="s">
        <v>6</v>
      </c>
      <c r="F47" s="4">
        <v>9875</v>
      </c>
      <c r="I47" s="4">
        <v>1</v>
      </c>
      <c r="M47" s="1"/>
      <c r="P47" s="1"/>
    </row>
    <row r="48" spans="1:16" ht="14.4" customHeight="1" x14ac:dyDescent="0.3">
      <c r="A48" s="1" t="s">
        <v>70</v>
      </c>
      <c r="B48" s="1" t="s">
        <v>71</v>
      </c>
      <c r="C48" s="8">
        <v>576624</v>
      </c>
      <c r="D48" s="4" t="s">
        <v>48</v>
      </c>
      <c r="E48" s="4" t="s">
        <v>6</v>
      </c>
      <c r="F48" s="4">
        <v>9875</v>
      </c>
      <c r="I48" s="4">
        <v>1</v>
      </c>
      <c r="M48" s="1"/>
      <c r="P48" s="1"/>
    </row>
    <row r="49" spans="1:16" ht="14.4" customHeight="1" x14ac:dyDescent="0.3">
      <c r="A49" s="1" t="s">
        <v>72</v>
      </c>
      <c r="B49" s="1" t="s">
        <v>73</v>
      </c>
      <c r="C49" s="8">
        <v>572188</v>
      </c>
      <c r="D49" s="4" t="s">
        <v>48</v>
      </c>
      <c r="E49" s="4" t="s">
        <v>6</v>
      </c>
      <c r="F49" s="4">
        <v>9875</v>
      </c>
      <c r="I49" s="4">
        <v>1</v>
      </c>
      <c r="M49" s="1"/>
      <c r="P49" s="1"/>
    </row>
    <row r="50" spans="1:16" ht="14.4" customHeight="1" x14ac:dyDescent="0.3">
      <c r="A50" s="1" t="s">
        <v>74</v>
      </c>
      <c r="B50" s="1" t="s">
        <v>75</v>
      </c>
      <c r="C50" s="8">
        <v>556382</v>
      </c>
      <c r="D50" s="4" t="s">
        <v>48</v>
      </c>
      <c r="E50" s="4" t="s">
        <v>6</v>
      </c>
      <c r="F50" s="4">
        <v>9875</v>
      </c>
      <c r="I50" s="4">
        <v>1</v>
      </c>
      <c r="M50" s="1"/>
      <c r="P50" s="1"/>
    </row>
    <row r="51" spans="1:16" ht="14.4" customHeight="1" x14ac:dyDescent="0.3">
      <c r="A51" s="1" t="s">
        <v>74</v>
      </c>
      <c r="B51" s="1" t="s">
        <v>76</v>
      </c>
      <c r="C51" s="8">
        <v>549103</v>
      </c>
      <c r="D51" s="4" t="s">
        <v>48</v>
      </c>
      <c r="E51" s="4" t="s">
        <v>6</v>
      </c>
      <c r="F51" s="4">
        <v>9875</v>
      </c>
      <c r="I51" s="4">
        <v>1</v>
      </c>
      <c r="M51" s="1"/>
      <c r="P51" s="1"/>
    </row>
    <row r="52" spans="1:16" ht="14.4" customHeight="1" x14ac:dyDescent="0.3">
      <c r="A52" s="1" t="s">
        <v>77</v>
      </c>
      <c r="B52" s="1" t="s">
        <v>78</v>
      </c>
      <c r="C52" s="8">
        <v>539290</v>
      </c>
      <c r="D52" s="4" t="s">
        <v>48</v>
      </c>
      <c r="E52" s="4" t="s">
        <v>6</v>
      </c>
      <c r="F52" s="4">
        <v>9875</v>
      </c>
      <c r="I52" s="4">
        <v>1</v>
      </c>
      <c r="M52" s="1"/>
      <c r="P52" s="1"/>
    </row>
    <row r="53" spans="1:16" ht="14.4" customHeight="1" x14ac:dyDescent="0.3">
      <c r="A53" s="1" t="s">
        <v>24</v>
      </c>
      <c r="B53" s="1" t="s">
        <v>79</v>
      </c>
      <c r="C53" s="8">
        <v>533839</v>
      </c>
      <c r="D53" s="4" t="s">
        <v>48</v>
      </c>
      <c r="E53" s="4" t="s">
        <v>6</v>
      </c>
      <c r="F53" s="4">
        <v>9875</v>
      </c>
      <c r="I53" s="4">
        <v>1</v>
      </c>
      <c r="M53" s="1"/>
      <c r="P53" s="1"/>
    </row>
    <row r="54" spans="1:16" ht="14.4" customHeight="1" x14ac:dyDescent="0.3">
      <c r="A54" s="1" t="s">
        <v>80</v>
      </c>
      <c r="B54" s="1" t="s">
        <v>81</v>
      </c>
      <c r="C54" s="8">
        <v>529793</v>
      </c>
      <c r="D54" s="4" t="s">
        <v>48</v>
      </c>
      <c r="E54" s="4" t="s">
        <v>6</v>
      </c>
      <c r="F54" s="4">
        <v>9875</v>
      </c>
      <c r="I54" s="4">
        <v>1</v>
      </c>
      <c r="M54" s="1"/>
      <c r="P54" s="1"/>
    </row>
    <row r="55" spans="1:16" ht="14.4" customHeight="1" x14ac:dyDescent="0.3">
      <c r="A55" s="1" t="s">
        <v>82</v>
      </c>
      <c r="B55" s="1" t="s">
        <v>83</v>
      </c>
      <c r="C55" s="8">
        <v>520300</v>
      </c>
      <c r="D55" s="4" t="s">
        <v>48</v>
      </c>
      <c r="E55" s="4" t="s">
        <v>6</v>
      </c>
      <c r="F55" s="4">
        <v>9875</v>
      </c>
      <c r="I55" s="4">
        <v>1</v>
      </c>
      <c r="M55" s="1"/>
      <c r="P55" s="1"/>
    </row>
    <row r="56" spans="1:16" ht="14.4" customHeight="1" x14ac:dyDescent="0.3">
      <c r="A56" s="1" t="s">
        <v>84</v>
      </c>
      <c r="B56" s="1" t="s">
        <v>85</v>
      </c>
      <c r="C56" s="8">
        <v>518348</v>
      </c>
      <c r="D56" s="4" t="s">
        <v>48</v>
      </c>
      <c r="E56" s="4" t="s">
        <v>6</v>
      </c>
      <c r="F56" s="4">
        <v>9875</v>
      </c>
      <c r="I56" s="4">
        <v>1</v>
      </c>
      <c r="M56" s="1"/>
      <c r="P56" s="1"/>
    </row>
    <row r="57" spans="1:16" ht="14.4" customHeight="1" x14ac:dyDescent="0.3">
      <c r="A57" s="1" t="s">
        <v>86</v>
      </c>
      <c r="B57" s="1" t="s">
        <v>87</v>
      </c>
      <c r="C57" s="8">
        <v>508573</v>
      </c>
      <c r="D57" s="4" t="s">
        <v>48</v>
      </c>
      <c r="E57" s="4" t="s">
        <v>6</v>
      </c>
      <c r="F57" s="4">
        <v>9875</v>
      </c>
      <c r="I57" s="4">
        <v>1</v>
      </c>
      <c r="M57" s="1"/>
      <c r="P57" s="1"/>
    </row>
    <row r="58" spans="1:16" ht="14.4" customHeight="1" x14ac:dyDescent="0.3">
      <c r="A58" s="1" t="s">
        <v>88</v>
      </c>
      <c r="B58" s="1" t="s">
        <v>89</v>
      </c>
      <c r="C58" s="8">
        <v>507366</v>
      </c>
      <c r="D58" s="4" t="s">
        <v>48</v>
      </c>
      <c r="E58" s="4" t="s">
        <v>6</v>
      </c>
      <c r="F58" s="4">
        <v>9875</v>
      </c>
      <c r="I58" s="4">
        <v>1</v>
      </c>
      <c r="M58" s="1"/>
      <c r="P58" s="1"/>
    </row>
    <row r="59" spans="1:16" ht="14.4" customHeight="1" x14ac:dyDescent="0.3">
      <c r="A59" s="1" t="s">
        <v>90</v>
      </c>
      <c r="B59" s="1" t="s">
        <v>91</v>
      </c>
      <c r="C59" s="8">
        <v>497618</v>
      </c>
      <c r="D59" s="4" t="s">
        <v>92</v>
      </c>
      <c r="E59" s="4" t="s">
        <v>7</v>
      </c>
      <c r="F59" s="4">
        <v>16623</v>
      </c>
      <c r="J59" s="4">
        <v>1</v>
      </c>
      <c r="M59" s="1"/>
      <c r="P59" s="1"/>
    </row>
    <row r="60" spans="1:16" ht="14.4" customHeight="1" x14ac:dyDescent="0.3">
      <c r="A60" s="1" t="s">
        <v>93</v>
      </c>
      <c r="B60" s="1" t="s">
        <v>94</v>
      </c>
      <c r="C60" s="8">
        <v>489359</v>
      </c>
      <c r="D60" s="4" t="s">
        <v>92</v>
      </c>
      <c r="E60" s="4" t="s">
        <v>7</v>
      </c>
      <c r="F60" s="4">
        <v>16623</v>
      </c>
      <c r="J60" s="4">
        <v>1</v>
      </c>
      <c r="M60" s="1"/>
      <c r="P60" s="1"/>
    </row>
    <row r="61" spans="1:16" ht="14.4" customHeight="1" x14ac:dyDescent="0.3">
      <c r="A61" s="1" t="s">
        <v>95</v>
      </c>
      <c r="B61" s="1" t="s">
        <v>96</v>
      </c>
      <c r="C61" s="8">
        <v>475161</v>
      </c>
      <c r="D61" s="4" t="s">
        <v>92</v>
      </c>
      <c r="E61" s="4" t="s">
        <v>7</v>
      </c>
      <c r="F61" s="4">
        <v>16623</v>
      </c>
      <c r="J61" s="4">
        <v>1</v>
      </c>
      <c r="M61" s="1"/>
      <c r="P61" s="1"/>
    </row>
    <row r="62" spans="1:16" ht="14.4" customHeight="1" x14ac:dyDescent="0.3">
      <c r="A62" s="1" t="s">
        <v>97</v>
      </c>
      <c r="B62" s="1" t="s">
        <v>98</v>
      </c>
      <c r="C62" s="8">
        <v>452976</v>
      </c>
      <c r="D62" s="4" t="s">
        <v>92</v>
      </c>
      <c r="E62" s="4" t="s">
        <v>7</v>
      </c>
      <c r="F62" s="4">
        <v>16623</v>
      </c>
      <c r="J62" s="4">
        <v>1</v>
      </c>
      <c r="M62" s="1"/>
      <c r="P62" s="1"/>
    </row>
    <row r="63" spans="1:16" ht="14.4" customHeight="1" x14ac:dyDescent="0.3">
      <c r="A63" s="1" t="s">
        <v>99</v>
      </c>
      <c r="B63" s="1" t="s">
        <v>100</v>
      </c>
      <c r="C63" s="8">
        <v>450680</v>
      </c>
      <c r="D63" s="4" t="s">
        <v>92</v>
      </c>
      <c r="E63" s="4" t="s">
        <v>7</v>
      </c>
      <c r="F63" s="4">
        <v>16623</v>
      </c>
      <c r="J63" s="4">
        <v>1</v>
      </c>
      <c r="M63" s="1"/>
      <c r="P63" s="1"/>
    </row>
    <row r="64" spans="1:16" ht="14.4" customHeight="1" x14ac:dyDescent="0.3">
      <c r="A64" s="1" t="s">
        <v>101</v>
      </c>
      <c r="B64" s="1" t="s">
        <v>102</v>
      </c>
      <c r="C64" s="8">
        <v>449138</v>
      </c>
      <c r="D64" s="4" t="s">
        <v>92</v>
      </c>
      <c r="E64" s="4" t="s">
        <v>7</v>
      </c>
      <c r="F64" s="4">
        <v>16623</v>
      </c>
      <c r="J64" s="4">
        <v>1</v>
      </c>
      <c r="M64" s="1"/>
      <c r="P64" s="1"/>
    </row>
    <row r="65" spans="1:16" ht="14.4" customHeight="1" x14ac:dyDescent="0.3">
      <c r="A65" s="1" t="s">
        <v>46</v>
      </c>
      <c r="B65" s="1" t="s">
        <v>103</v>
      </c>
      <c r="C65" s="8">
        <v>443562</v>
      </c>
      <c r="D65" s="4" t="s">
        <v>92</v>
      </c>
      <c r="E65" s="4" t="s">
        <v>7</v>
      </c>
      <c r="F65" s="4">
        <v>16623</v>
      </c>
      <c r="J65" s="4">
        <v>1</v>
      </c>
      <c r="M65" s="1"/>
      <c r="P65" s="1"/>
    </row>
    <row r="66" spans="1:16" ht="14.4" customHeight="1" x14ac:dyDescent="0.3">
      <c r="A66" s="1" t="s">
        <v>104</v>
      </c>
      <c r="B66" s="1" t="s">
        <v>105</v>
      </c>
      <c r="C66" s="8">
        <v>439128</v>
      </c>
      <c r="D66" s="4" t="s">
        <v>92</v>
      </c>
      <c r="E66" s="4" t="s">
        <v>7</v>
      </c>
      <c r="F66" s="4">
        <v>16623</v>
      </c>
      <c r="J66" s="4">
        <v>1</v>
      </c>
      <c r="M66" s="1"/>
      <c r="P66" s="1"/>
    </row>
    <row r="67" spans="1:16" ht="14.4" customHeight="1" x14ac:dyDescent="0.3">
      <c r="A67" s="1" t="s">
        <v>106</v>
      </c>
      <c r="B67" s="1" t="s">
        <v>107</v>
      </c>
      <c r="C67" s="8">
        <v>425072</v>
      </c>
      <c r="D67" s="4" t="s">
        <v>92</v>
      </c>
      <c r="E67" s="4" t="s">
        <v>7</v>
      </c>
      <c r="F67" s="4">
        <v>16623</v>
      </c>
      <c r="J67" s="4">
        <v>1</v>
      </c>
      <c r="M67" s="1"/>
      <c r="P67" s="1"/>
    </row>
    <row r="68" spans="1:16" ht="14.4" customHeight="1" x14ac:dyDescent="0.3">
      <c r="A68" s="1" t="s">
        <v>28</v>
      </c>
      <c r="B68" s="1" t="s">
        <v>108</v>
      </c>
      <c r="C68" s="8">
        <v>413253</v>
      </c>
      <c r="D68" s="4" t="s">
        <v>92</v>
      </c>
      <c r="E68" s="4" t="s">
        <v>7</v>
      </c>
      <c r="F68" s="4">
        <v>16623</v>
      </c>
      <c r="J68" s="4">
        <v>1</v>
      </c>
      <c r="M68" s="1"/>
      <c r="P68" s="1"/>
    </row>
    <row r="69" spans="1:16" ht="14.4" customHeight="1" x14ac:dyDescent="0.3">
      <c r="A69" s="1" t="s">
        <v>109</v>
      </c>
      <c r="B69" s="1" t="s">
        <v>110</v>
      </c>
      <c r="C69" s="8">
        <v>404598</v>
      </c>
      <c r="D69" s="4" t="s">
        <v>92</v>
      </c>
      <c r="E69" s="4" t="s">
        <v>7</v>
      </c>
      <c r="F69" s="4">
        <v>16623</v>
      </c>
      <c r="J69" s="4">
        <v>1</v>
      </c>
      <c r="M69" s="1"/>
      <c r="P69" s="1"/>
    </row>
    <row r="70" spans="1:16" ht="14.4" customHeight="1" x14ac:dyDescent="0.3">
      <c r="A70" s="1" t="s">
        <v>111</v>
      </c>
      <c r="B70" s="1" t="s">
        <v>112</v>
      </c>
      <c r="C70" s="8">
        <v>402675</v>
      </c>
      <c r="D70" s="4" t="s">
        <v>92</v>
      </c>
      <c r="E70" s="4" t="s">
        <v>7</v>
      </c>
      <c r="F70" s="4">
        <v>16623</v>
      </c>
      <c r="J70" s="4">
        <v>1</v>
      </c>
      <c r="M70" s="1"/>
      <c r="P70" s="1"/>
    </row>
    <row r="71" spans="1:16" ht="14.4" customHeight="1" x14ac:dyDescent="0.3">
      <c r="A71" s="1" t="s">
        <v>113</v>
      </c>
      <c r="B71" s="1" t="s">
        <v>114</v>
      </c>
      <c r="C71" s="8">
        <v>394142</v>
      </c>
      <c r="D71" s="4" t="s">
        <v>92</v>
      </c>
      <c r="E71" s="4" t="s">
        <v>7</v>
      </c>
      <c r="F71" s="4">
        <v>16623</v>
      </c>
      <c r="J71" s="4">
        <v>1</v>
      </c>
      <c r="M71" s="1"/>
      <c r="P71" s="1"/>
    </row>
    <row r="72" spans="1:16" ht="14.4" customHeight="1" x14ac:dyDescent="0.3">
      <c r="A72" s="1" t="s">
        <v>115</v>
      </c>
      <c r="B72" s="1" t="s">
        <v>116</v>
      </c>
      <c r="C72" s="8">
        <v>380632</v>
      </c>
      <c r="D72" s="4" t="s">
        <v>92</v>
      </c>
      <c r="E72" s="4" t="s">
        <v>7</v>
      </c>
      <c r="F72" s="4">
        <v>16623</v>
      </c>
      <c r="J72" s="4">
        <v>1</v>
      </c>
      <c r="M72" s="1"/>
      <c r="P72" s="1"/>
    </row>
    <row r="73" spans="1:16" ht="14.4" customHeight="1" x14ac:dyDescent="0.3">
      <c r="A73" s="1" t="s">
        <v>117</v>
      </c>
      <c r="B73" s="1" t="s">
        <v>118</v>
      </c>
      <c r="C73" s="8">
        <v>356937</v>
      </c>
      <c r="D73" s="4" t="s">
        <v>92</v>
      </c>
      <c r="E73" s="4" t="s">
        <v>7</v>
      </c>
      <c r="F73" s="4">
        <v>16623</v>
      </c>
      <c r="J73" s="4">
        <v>1</v>
      </c>
      <c r="M73" s="1"/>
      <c r="P73" s="1"/>
    </row>
    <row r="74" spans="1:16" ht="14.4" customHeight="1" x14ac:dyDescent="0.3">
      <c r="A74" s="1" t="s">
        <v>119</v>
      </c>
      <c r="B74" s="1" t="s">
        <v>120</v>
      </c>
      <c r="C74" s="8">
        <v>351784</v>
      </c>
      <c r="D74" s="4" t="s">
        <v>92</v>
      </c>
      <c r="E74" s="4" t="s">
        <v>7</v>
      </c>
      <c r="F74" s="4">
        <v>16623</v>
      </c>
      <c r="J74" s="4">
        <v>1</v>
      </c>
      <c r="M74" s="1"/>
      <c r="P74" s="1"/>
    </row>
    <row r="75" spans="1:16" ht="14.4" customHeight="1" x14ac:dyDescent="0.3">
      <c r="A75" s="1" t="s">
        <v>22</v>
      </c>
      <c r="B75" s="1" t="s">
        <v>121</v>
      </c>
      <c r="C75" s="8">
        <v>349008</v>
      </c>
      <c r="D75" s="4" t="s">
        <v>92</v>
      </c>
      <c r="E75" s="4" t="s">
        <v>7</v>
      </c>
      <c r="F75" s="4">
        <v>16623</v>
      </c>
      <c r="J75" s="4">
        <v>1</v>
      </c>
      <c r="M75" s="1"/>
      <c r="P75" s="1"/>
    </row>
    <row r="76" spans="1:16" ht="14.4" customHeight="1" x14ac:dyDescent="0.3">
      <c r="A76" s="1" t="s">
        <v>122</v>
      </c>
      <c r="B76" s="1" t="s">
        <v>123</v>
      </c>
      <c r="C76" s="8">
        <v>346979</v>
      </c>
      <c r="D76" s="4" t="s">
        <v>92</v>
      </c>
      <c r="E76" s="4" t="s">
        <v>7</v>
      </c>
      <c r="F76" s="4">
        <v>16623</v>
      </c>
      <c r="J76" s="4">
        <v>1</v>
      </c>
      <c r="M76" s="1"/>
      <c r="P76" s="1"/>
    </row>
    <row r="77" spans="1:16" ht="14.4" customHeight="1" x14ac:dyDescent="0.3">
      <c r="A77" s="1" t="s">
        <v>124</v>
      </c>
      <c r="B77" s="1" t="s">
        <v>125</v>
      </c>
      <c r="C77" s="8">
        <v>342054</v>
      </c>
      <c r="D77" s="4" t="s">
        <v>92</v>
      </c>
      <c r="E77" s="4" t="s">
        <v>7</v>
      </c>
      <c r="F77" s="4">
        <v>16623</v>
      </c>
      <c r="J77" s="4">
        <v>1</v>
      </c>
      <c r="M77" s="1"/>
      <c r="P77" s="1"/>
    </row>
    <row r="78" spans="1:16" ht="14.4" customHeight="1" x14ac:dyDescent="0.3">
      <c r="A78" s="1" t="s">
        <v>126</v>
      </c>
      <c r="B78" s="1" t="s">
        <v>127</v>
      </c>
      <c r="C78" s="8">
        <v>332039</v>
      </c>
      <c r="D78" s="4" t="s">
        <v>92</v>
      </c>
      <c r="E78" s="4" t="s">
        <v>7</v>
      </c>
      <c r="F78" s="4">
        <v>16623</v>
      </c>
      <c r="J78" s="4">
        <v>1</v>
      </c>
      <c r="M78" s="1"/>
      <c r="P78" s="1"/>
    </row>
    <row r="79" spans="1:16" ht="14.4" customHeight="1" x14ac:dyDescent="0.3">
      <c r="A79" s="1" t="s">
        <v>128</v>
      </c>
      <c r="B79" s="1" t="s">
        <v>129</v>
      </c>
      <c r="C79" s="8">
        <v>325495</v>
      </c>
      <c r="D79" s="4" t="s">
        <v>92</v>
      </c>
      <c r="E79" s="4" t="s">
        <v>7</v>
      </c>
      <c r="F79" s="4">
        <v>16623</v>
      </c>
      <c r="J79" s="4">
        <v>1</v>
      </c>
      <c r="M79" s="1"/>
      <c r="P79" s="1"/>
    </row>
    <row r="80" spans="1:16" ht="14.4" customHeight="1" x14ac:dyDescent="0.3">
      <c r="A80" s="1" t="s">
        <v>44</v>
      </c>
      <c r="B80" s="1" t="s">
        <v>130</v>
      </c>
      <c r="C80" s="8">
        <v>323906</v>
      </c>
      <c r="D80" s="4" t="s">
        <v>92</v>
      </c>
      <c r="E80" s="4" t="s">
        <v>7</v>
      </c>
      <c r="F80" s="4">
        <v>16623</v>
      </c>
      <c r="J80" s="4">
        <v>1</v>
      </c>
      <c r="M80" s="1"/>
      <c r="P80" s="1"/>
    </row>
    <row r="81" spans="1:16" ht="14.4" customHeight="1" x14ac:dyDescent="0.3">
      <c r="A81" s="1" t="s">
        <v>131</v>
      </c>
      <c r="B81" s="1" t="s">
        <v>132</v>
      </c>
      <c r="C81" s="8">
        <v>322987</v>
      </c>
      <c r="D81" s="4" t="s">
        <v>92</v>
      </c>
      <c r="E81" s="4" t="s">
        <v>7</v>
      </c>
      <c r="F81" s="4">
        <v>16623</v>
      </c>
      <c r="J81" s="4">
        <v>1</v>
      </c>
      <c r="M81" s="1"/>
      <c r="P81" s="1"/>
    </row>
    <row r="82" spans="1:16" ht="14.4" customHeight="1" x14ac:dyDescent="0.3">
      <c r="A82" s="1" t="s">
        <v>133</v>
      </c>
      <c r="B82" s="1" t="s">
        <v>134</v>
      </c>
      <c r="C82" s="8">
        <v>320612</v>
      </c>
      <c r="D82" s="4" t="s">
        <v>92</v>
      </c>
      <c r="E82" s="4" t="s">
        <v>7</v>
      </c>
      <c r="F82" s="4">
        <v>16623</v>
      </c>
      <c r="J82" s="4">
        <v>1</v>
      </c>
      <c r="M82" s="1"/>
      <c r="P82" s="1"/>
    </row>
    <row r="83" spans="1:16" ht="14.4" customHeight="1" x14ac:dyDescent="0.3">
      <c r="A83" s="1" t="s">
        <v>135</v>
      </c>
      <c r="B83" s="1" t="s">
        <v>136</v>
      </c>
      <c r="C83" s="8">
        <v>314834</v>
      </c>
      <c r="D83" s="4" t="s">
        <v>92</v>
      </c>
      <c r="E83" s="4" t="s">
        <v>7</v>
      </c>
      <c r="F83" s="4">
        <v>16623</v>
      </c>
      <c r="J83" s="4">
        <v>1</v>
      </c>
      <c r="M83" s="1"/>
      <c r="P83" s="1"/>
    </row>
    <row r="84" spans="1:16" ht="14.4" customHeight="1" x14ac:dyDescent="0.3">
      <c r="A84" s="1" t="s">
        <v>137</v>
      </c>
      <c r="B84" s="1" t="s">
        <v>138</v>
      </c>
      <c r="C84" s="8">
        <v>312364</v>
      </c>
      <c r="D84" s="4" t="s">
        <v>92</v>
      </c>
      <c r="E84" s="4" t="s">
        <v>7</v>
      </c>
      <c r="F84" s="4">
        <v>16623</v>
      </c>
      <c r="J84" s="4">
        <v>1</v>
      </c>
      <c r="M84" s="1"/>
      <c r="P84" s="1"/>
    </row>
    <row r="85" spans="1:16" ht="14.4" customHeight="1" x14ac:dyDescent="0.3">
      <c r="A85" s="1" t="s">
        <v>135</v>
      </c>
      <c r="B85" s="1" t="s">
        <v>139</v>
      </c>
      <c r="C85" s="8">
        <v>310302</v>
      </c>
      <c r="D85" s="4" t="s">
        <v>92</v>
      </c>
      <c r="E85" s="4" t="s">
        <v>7</v>
      </c>
      <c r="F85" s="4">
        <v>16623</v>
      </c>
      <c r="J85" s="4">
        <v>1</v>
      </c>
      <c r="M85" s="1"/>
      <c r="P85" s="1"/>
    </row>
    <row r="86" spans="1:16" ht="14.4" customHeight="1" x14ac:dyDescent="0.3">
      <c r="A86" s="1" t="s">
        <v>140</v>
      </c>
      <c r="B86" s="1" t="s">
        <v>141</v>
      </c>
      <c r="C86" s="8">
        <v>308838</v>
      </c>
      <c r="D86" s="4" t="s">
        <v>92</v>
      </c>
      <c r="E86" s="4" t="s">
        <v>7</v>
      </c>
      <c r="F86" s="4">
        <v>16623</v>
      </c>
      <c r="J86" s="4">
        <v>1</v>
      </c>
      <c r="M86" s="1"/>
      <c r="P86" s="1"/>
    </row>
    <row r="87" spans="1:16" ht="14.4" customHeight="1" x14ac:dyDescent="0.3">
      <c r="A87" s="1" t="s">
        <v>88</v>
      </c>
      <c r="B87" s="1" t="s">
        <v>142</v>
      </c>
      <c r="C87" s="8">
        <v>308130</v>
      </c>
      <c r="D87" s="4" t="s">
        <v>92</v>
      </c>
      <c r="E87" s="4" t="s">
        <v>7</v>
      </c>
      <c r="F87" s="4">
        <v>16623</v>
      </c>
      <c r="J87" s="4">
        <v>1</v>
      </c>
      <c r="M87" s="1"/>
      <c r="P87" s="1"/>
    </row>
    <row r="88" spans="1:16" ht="14.4" customHeight="1" x14ac:dyDescent="0.3">
      <c r="A88" s="1" t="s">
        <v>143</v>
      </c>
      <c r="B88" s="1" t="s">
        <v>144</v>
      </c>
      <c r="C88" s="8">
        <v>305911</v>
      </c>
      <c r="D88" s="4" t="s">
        <v>92</v>
      </c>
      <c r="E88" s="4" t="s">
        <v>7</v>
      </c>
      <c r="F88" s="4">
        <v>16623</v>
      </c>
      <c r="J88" s="4">
        <v>1</v>
      </c>
      <c r="M88" s="1"/>
      <c r="P88" s="1"/>
    </row>
    <row r="89" spans="1:16" ht="14.4" customHeight="1" x14ac:dyDescent="0.3">
      <c r="A89" s="1" t="s">
        <v>145</v>
      </c>
      <c r="B89" s="1" t="s">
        <v>146</v>
      </c>
      <c r="C89" s="8">
        <v>303597</v>
      </c>
      <c r="D89" s="4" t="s">
        <v>92</v>
      </c>
      <c r="E89" s="4" t="s">
        <v>7</v>
      </c>
      <c r="F89" s="4">
        <v>16623</v>
      </c>
      <c r="J89" s="4">
        <v>1</v>
      </c>
      <c r="M89" s="1"/>
      <c r="P89" s="1"/>
    </row>
    <row r="90" spans="1:16" ht="14.4" customHeight="1" x14ac:dyDescent="0.3">
      <c r="A90" s="1" t="s">
        <v>147</v>
      </c>
      <c r="B90" s="1" t="s">
        <v>148</v>
      </c>
      <c r="C90" s="8">
        <v>292140</v>
      </c>
      <c r="D90" s="4" t="s">
        <v>92</v>
      </c>
      <c r="E90" s="4" t="s">
        <v>7</v>
      </c>
      <c r="F90" s="4">
        <v>16623</v>
      </c>
      <c r="J90" s="4">
        <v>1</v>
      </c>
      <c r="M90" s="1"/>
      <c r="P90" s="1"/>
    </row>
    <row r="91" spans="1:16" ht="14.4" customHeight="1" x14ac:dyDescent="0.3">
      <c r="A91" s="1" t="s">
        <v>149</v>
      </c>
      <c r="B91" s="1" t="s">
        <v>150</v>
      </c>
      <c r="C91" s="8">
        <v>287847</v>
      </c>
      <c r="D91" s="4" t="s">
        <v>92</v>
      </c>
      <c r="E91" s="4" t="s">
        <v>7</v>
      </c>
      <c r="F91" s="4">
        <v>16623</v>
      </c>
      <c r="J91" s="4">
        <v>1</v>
      </c>
      <c r="M91" s="1"/>
      <c r="P91" s="1"/>
    </row>
    <row r="92" spans="1:16" ht="14.4" customHeight="1" x14ac:dyDescent="0.3">
      <c r="A92" s="1" t="s">
        <v>151</v>
      </c>
      <c r="B92" s="1" t="s">
        <v>152</v>
      </c>
      <c r="C92" s="8">
        <v>281023</v>
      </c>
      <c r="D92" s="4" t="s">
        <v>92</v>
      </c>
      <c r="E92" s="4" t="s">
        <v>7</v>
      </c>
      <c r="F92" s="4">
        <v>16623</v>
      </c>
      <c r="J92" s="4">
        <v>1</v>
      </c>
      <c r="M92" s="1"/>
      <c r="P92" s="1"/>
    </row>
    <row r="93" spans="1:16" ht="14.4" customHeight="1" x14ac:dyDescent="0.3">
      <c r="A93" s="1" t="s">
        <v>115</v>
      </c>
      <c r="B93" s="1" t="s">
        <v>153</v>
      </c>
      <c r="C93" s="8">
        <v>277668</v>
      </c>
      <c r="D93" s="4" t="s">
        <v>92</v>
      </c>
      <c r="E93" s="4" t="s">
        <v>7</v>
      </c>
      <c r="F93" s="4">
        <v>16623</v>
      </c>
      <c r="J93" s="4">
        <v>1</v>
      </c>
      <c r="M93" s="1"/>
      <c r="P93" s="1"/>
    </row>
    <row r="94" spans="1:16" ht="14.4" customHeight="1" x14ac:dyDescent="0.3">
      <c r="A94" s="1" t="s">
        <v>154</v>
      </c>
      <c r="B94" s="1" t="s">
        <v>155</v>
      </c>
      <c r="C94" s="8">
        <v>276929</v>
      </c>
      <c r="D94" s="4" t="s">
        <v>92</v>
      </c>
      <c r="E94" s="4" t="s">
        <v>7</v>
      </c>
      <c r="F94" s="4">
        <v>16623</v>
      </c>
      <c r="J94" s="4">
        <v>1</v>
      </c>
      <c r="M94" s="1"/>
      <c r="P94" s="1"/>
    </row>
    <row r="95" spans="1:16" ht="14.4" customHeight="1" x14ac:dyDescent="0.3">
      <c r="A95" s="1" t="s">
        <v>36</v>
      </c>
      <c r="B95" s="1" t="s">
        <v>156</v>
      </c>
      <c r="C95" s="8">
        <v>276394</v>
      </c>
      <c r="D95" s="4" t="s">
        <v>92</v>
      </c>
      <c r="E95" s="4" t="s">
        <v>7</v>
      </c>
      <c r="F95" s="4">
        <v>16623</v>
      </c>
      <c r="J95" s="4">
        <v>1</v>
      </c>
      <c r="M95" s="1"/>
      <c r="P95" s="1"/>
    </row>
    <row r="96" spans="1:16" ht="14.4" customHeight="1" x14ac:dyDescent="0.3">
      <c r="A96" s="1" t="s">
        <v>46</v>
      </c>
      <c r="B96" s="1" t="s">
        <v>157</v>
      </c>
      <c r="C96" s="8">
        <v>274956</v>
      </c>
      <c r="D96" s="4" t="s">
        <v>92</v>
      </c>
      <c r="E96" s="4" t="s">
        <v>7</v>
      </c>
      <c r="F96" s="4">
        <v>16623</v>
      </c>
      <c r="J96" s="4">
        <v>1</v>
      </c>
      <c r="M96" s="1"/>
      <c r="P96" s="1"/>
    </row>
    <row r="97" spans="1:16" ht="14.4" customHeight="1" x14ac:dyDescent="0.3">
      <c r="A97" s="1" t="s">
        <v>158</v>
      </c>
      <c r="B97" s="1" t="s">
        <v>159</v>
      </c>
      <c r="C97" s="8">
        <v>274715</v>
      </c>
      <c r="D97" s="4" t="s">
        <v>92</v>
      </c>
      <c r="E97" s="4" t="s">
        <v>7</v>
      </c>
      <c r="F97" s="4">
        <v>16623</v>
      </c>
      <c r="J97" s="4">
        <v>1</v>
      </c>
      <c r="M97" s="1"/>
      <c r="P97" s="1"/>
    </row>
    <row r="98" spans="1:16" ht="14.4" customHeight="1" x14ac:dyDescent="0.3">
      <c r="A98" s="1" t="s">
        <v>88</v>
      </c>
      <c r="B98" s="1" t="s">
        <v>160</v>
      </c>
      <c r="C98" s="8">
        <v>259550</v>
      </c>
      <c r="D98" s="4" t="s">
        <v>92</v>
      </c>
      <c r="E98" s="4" t="s">
        <v>7</v>
      </c>
      <c r="F98" s="4">
        <v>16623</v>
      </c>
      <c r="J98" s="4">
        <v>1</v>
      </c>
      <c r="M98" s="1"/>
      <c r="P98" s="1"/>
    </row>
    <row r="99" spans="1:16" ht="14.4" customHeight="1" x14ac:dyDescent="0.3">
      <c r="A99" s="1" t="s">
        <v>34</v>
      </c>
      <c r="B99" s="1" t="s">
        <v>161</v>
      </c>
      <c r="C99" s="8">
        <v>248643</v>
      </c>
      <c r="D99" s="9" t="s">
        <v>162</v>
      </c>
      <c r="E99" s="4" t="s">
        <v>8</v>
      </c>
      <c r="F99" s="4">
        <v>6362</v>
      </c>
      <c r="K99" s="4">
        <v>1</v>
      </c>
      <c r="M99" s="1"/>
      <c r="P99" s="1"/>
    </row>
    <row r="100" spans="1:16" ht="14.4" customHeight="1" x14ac:dyDescent="0.3">
      <c r="A100" s="1" t="s">
        <v>62</v>
      </c>
      <c r="B100" s="1" t="s">
        <v>163</v>
      </c>
      <c r="C100" s="8">
        <v>244768</v>
      </c>
      <c r="D100" s="9" t="s">
        <v>162</v>
      </c>
      <c r="E100" s="4" t="s">
        <v>8</v>
      </c>
      <c r="F100" s="4">
        <v>6362</v>
      </c>
      <c r="K100" s="4">
        <v>1</v>
      </c>
      <c r="M100" s="1"/>
      <c r="P100" s="1"/>
    </row>
    <row r="101" spans="1:16" ht="14.4" customHeight="1" x14ac:dyDescent="0.3">
      <c r="A101" s="1" t="s">
        <v>164</v>
      </c>
      <c r="B101" s="1" t="s">
        <v>165</v>
      </c>
      <c r="C101" s="8">
        <v>244403</v>
      </c>
      <c r="D101" s="9" t="s">
        <v>162</v>
      </c>
      <c r="E101" s="4" t="s">
        <v>8</v>
      </c>
      <c r="F101" s="4">
        <v>6362</v>
      </c>
      <c r="K101" s="4">
        <v>1</v>
      </c>
      <c r="M101" s="1"/>
      <c r="P101" s="1"/>
    </row>
    <row r="102" spans="1:16" ht="14.4" customHeight="1" x14ac:dyDescent="0.3">
      <c r="A102" s="1" t="s">
        <v>24</v>
      </c>
      <c r="B102" s="1" t="s">
        <v>166</v>
      </c>
      <c r="C102" s="8">
        <v>240020</v>
      </c>
      <c r="D102" s="9" t="s">
        <v>162</v>
      </c>
      <c r="E102" s="4" t="s">
        <v>8</v>
      </c>
      <c r="F102" s="4">
        <v>6362</v>
      </c>
      <c r="K102" s="4">
        <v>1</v>
      </c>
      <c r="M102" s="1"/>
      <c r="P102" s="1"/>
    </row>
    <row r="103" spans="1:16" ht="14.4" customHeight="1" x14ac:dyDescent="0.3">
      <c r="A103" s="1" t="s">
        <v>167</v>
      </c>
      <c r="B103" s="1" t="s">
        <v>168</v>
      </c>
      <c r="C103" s="8">
        <v>239583</v>
      </c>
      <c r="D103" s="9" t="s">
        <v>162</v>
      </c>
      <c r="E103" s="4" t="s">
        <v>8</v>
      </c>
      <c r="F103" s="4">
        <v>6362</v>
      </c>
      <c r="K103" s="4">
        <v>1</v>
      </c>
      <c r="M103" s="1"/>
      <c r="P103" s="1"/>
    </row>
    <row r="104" spans="1:16" ht="14.4" customHeight="1" x14ac:dyDescent="0.3">
      <c r="A104" s="1" t="s">
        <v>88</v>
      </c>
      <c r="B104" s="1" t="s">
        <v>169</v>
      </c>
      <c r="C104" s="8">
        <v>235504</v>
      </c>
      <c r="D104" s="9" t="s">
        <v>162</v>
      </c>
      <c r="E104" s="4" t="s">
        <v>8</v>
      </c>
      <c r="F104" s="4">
        <v>6362</v>
      </c>
      <c r="K104" s="4">
        <v>1</v>
      </c>
      <c r="M104" s="1"/>
      <c r="P104" s="1"/>
    </row>
    <row r="105" spans="1:16" ht="14.4" customHeight="1" x14ac:dyDescent="0.3">
      <c r="A105" s="1" t="s">
        <v>34</v>
      </c>
      <c r="B105" s="1" t="s">
        <v>170</v>
      </c>
      <c r="C105" s="8">
        <v>230262</v>
      </c>
      <c r="D105" s="9" t="s">
        <v>162</v>
      </c>
      <c r="E105" s="4" t="s">
        <v>8</v>
      </c>
      <c r="F105" s="4">
        <v>6362</v>
      </c>
      <c r="K105" s="4">
        <v>1</v>
      </c>
      <c r="M105" s="1"/>
    </row>
    <row r="106" spans="1:16" ht="14.4" customHeight="1" x14ac:dyDescent="0.3">
      <c r="A106" s="1" t="s">
        <v>26</v>
      </c>
      <c r="B106" s="1" t="s">
        <v>171</v>
      </c>
      <c r="C106" s="8">
        <v>229000</v>
      </c>
      <c r="D106" s="9" t="s">
        <v>162</v>
      </c>
      <c r="E106" s="4" t="s">
        <v>8</v>
      </c>
      <c r="F106" s="4">
        <v>6362</v>
      </c>
      <c r="K106" s="4">
        <v>1</v>
      </c>
      <c r="M106" s="1"/>
    </row>
    <row r="107" spans="1:16" ht="14.4" customHeight="1" x14ac:dyDescent="0.3">
      <c r="A107" s="1" t="s">
        <v>49</v>
      </c>
      <c r="B107" s="1" t="s">
        <v>172</v>
      </c>
      <c r="C107" s="8">
        <v>227049</v>
      </c>
      <c r="D107" s="9" t="s">
        <v>162</v>
      </c>
      <c r="E107" s="4" t="s">
        <v>8</v>
      </c>
      <c r="F107" s="4">
        <v>6362</v>
      </c>
      <c r="K107" s="4">
        <v>1</v>
      </c>
      <c r="M107" s="1"/>
    </row>
    <row r="108" spans="1:16" ht="14.4" customHeight="1" x14ac:dyDescent="0.3">
      <c r="A108" s="1" t="s">
        <v>72</v>
      </c>
      <c r="B108" s="1" t="s">
        <v>173</v>
      </c>
      <c r="C108" s="8">
        <v>226502</v>
      </c>
      <c r="D108" s="9" t="s">
        <v>162</v>
      </c>
      <c r="E108" s="4" t="s">
        <v>8</v>
      </c>
      <c r="F108" s="4">
        <v>6362</v>
      </c>
      <c r="K108" s="4">
        <v>1</v>
      </c>
      <c r="M108" s="1"/>
    </row>
    <row r="109" spans="1:16" ht="14.4" customHeight="1" x14ac:dyDescent="0.3">
      <c r="A109" s="1" t="s">
        <v>174</v>
      </c>
      <c r="B109" s="1" t="s">
        <v>175</v>
      </c>
      <c r="C109" s="8">
        <v>226385</v>
      </c>
      <c r="D109" s="9" t="s">
        <v>162</v>
      </c>
      <c r="E109" s="4" t="s">
        <v>8</v>
      </c>
      <c r="F109" s="4">
        <v>6362</v>
      </c>
      <c r="K109" s="4">
        <v>1</v>
      </c>
      <c r="M109" s="1"/>
    </row>
    <row r="110" spans="1:16" ht="14.4" customHeight="1" x14ac:dyDescent="0.3">
      <c r="A110" s="1" t="s">
        <v>60</v>
      </c>
      <c r="B110" s="1" t="s">
        <v>176</v>
      </c>
      <c r="C110" s="8">
        <v>226269</v>
      </c>
      <c r="D110" s="9" t="s">
        <v>162</v>
      </c>
      <c r="E110" s="4" t="s">
        <v>8</v>
      </c>
      <c r="F110" s="4">
        <v>6362</v>
      </c>
      <c r="K110" s="4">
        <v>1</v>
      </c>
      <c r="M110" s="1"/>
    </row>
    <row r="111" spans="1:16" ht="14.4" customHeight="1" x14ac:dyDescent="0.3">
      <c r="A111" s="1" t="s">
        <v>88</v>
      </c>
      <c r="B111" s="1" t="s">
        <v>177</v>
      </c>
      <c r="C111" s="8">
        <v>225858</v>
      </c>
      <c r="D111" s="9" t="s">
        <v>162</v>
      </c>
      <c r="E111" s="4" t="s">
        <v>8</v>
      </c>
      <c r="F111" s="4">
        <v>6362</v>
      </c>
      <c r="K111" s="4">
        <v>1</v>
      </c>
      <c r="M111" s="1"/>
    </row>
    <row r="112" spans="1:16" ht="14.4" customHeight="1" x14ac:dyDescent="0.3">
      <c r="A112" s="1" t="s">
        <v>178</v>
      </c>
      <c r="B112" s="1" t="s">
        <v>179</v>
      </c>
      <c r="C112" s="8">
        <v>224936</v>
      </c>
      <c r="D112" s="9" t="s">
        <v>162</v>
      </c>
      <c r="E112" s="4" t="s">
        <v>8</v>
      </c>
      <c r="F112" s="4">
        <v>6362</v>
      </c>
      <c r="K112" s="4">
        <v>1</v>
      </c>
      <c r="M112" s="1"/>
    </row>
    <row r="113" spans="1:13" ht="14.4" customHeight="1" x14ac:dyDescent="0.3">
      <c r="A113" s="1" t="s">
        <v>60</v>
      </c>
      <c r="B113" s="1" t="s">
        <v>180</v>
      </c>
      <c r="C113" s="8">
        <v>224630</v>
      </c>
      <c r="D113" s="9" t="s">
        <v>162</v>
      </c>
      <c r="E113" s="4" t="s">
        <v>8</v>
      </c>
      <c r="F113" s="4">
        <v>6362</v>
      </c>
      <c r="K113" s="4">
        <v>1</v>
      </c>
      <c r="M113" s="1"/>
    </row>
    <row r="114" spans="1:13" ht="14.4" customHeight="1" x14ac:dyDescent="0.3">
      <c r="A114" s="1" t="s">
        <v>113</v>
      </c>
      <c r="B114" s="1" t="s">
        <v>181</v>
      </c>
      <c r="C114" s="8">
        <v>223921</v>
      </c>
      <c r="D114" s="9" t="s">
        <v>162</v>
      </c>
      <c r="E114" s="4" t="s">
        <v>8</v>
      </c>
      <c r="F114" s="4">
        <v>6362</v>
      </c>
      <c r="K114" s="4">
        <v>1</v>
      </c>
      <c r="M114" s="1"/>
    </row>
    <row r="115" spans="1:13" ht="14.4" customHeight="1" x14ac:dyDescent="0.3">
      <c r="A115" s="1" t="s">
        <v>182</v>
      </c>
      <c r="B115" s="1" t="s">
        <v>183</v>
      </c>
      <c r="C115" s="8">
        <v>210340</v>
      </c>
      <c r="D115" s="9" t="s">
        <v>162</v>
      </c>
      <c r="E115" s="4" t="s">
        <v>8</v>
      </c>
      <c r="F115" s="4">
        <v>6362</v>
      </c>
      <c r="K115" s="4">
        <v>1</v>
      </c>
      <c r="M115" s="1"/>
    </row>
    <row r="116" spans="1:13" ht="14.4" customHeight="1" x14ac:dyDescent="0.3">
      <c r="A116" s="1" t="s">
        <v>88</v>
      </c>
      <c r="B116" s="1" t="s">
        <v>184</v>
      </c>
      <c r="C116" s="8">
        <v>205295</v>
      </c>
      <c r="D116" s="9" t="s">
        <v>162</v>
      </c>
      <c r="E116" s="4" t="s">
        <v>8</v>
      </c>
      <c r="F116" s="4">
        <v>6362</v>
      </c>
      <c r="K116" s="4">
        <v>1</v>
      </c>
      <c r="M116" s="1"/>
    </row>
    <row r="117" spans="1:13" ht="14.4" customHeight="1" x14ac:dyDescent="0.3">
      <c r="A117" s="1" t="s">
        <v>185</v>
      </c>
      <c r="B117" s="1" t="s">
        <v>186</v>
      </c>
      <c r="C117" s="8">
        <v>200636</v>
      </c>
      <c r="D117" s="9" t="s">
        <v>162</v>
      </c>
      <c r="E117" s="4" t="s">
        <v>8</v>
      </c>
      <c r="F117" s="4">
        <v>6362</v>
      </c>
      <c r="K117" s="4">
        <v>1</v>
      </c>
      <c r="M117" s="1"/>
    </row>
    <row r="118" spans="1:13" ht="14.4" customHeight="1" x14ac:dyDescent="0.3">
      <c r="A118" s="1" t="s">
        <v>56</v>
      </c>
      <c r="B118" s="1" t="s">
        <v>187</v>
      </c>
      <c r="C118" s="8">
        <v>199464</v>
      </c>
      <c r="D118" s="9" t="s">
        <v>162</v>
      </c>
      <c r="E118" s="4" t="s">
        <v>8</v>
      </c>
      <c r="F118" s="4">
        <v>6362</v>
      </c>
      <c r="K118" s="4">
        <v>1</v>
      </c>
      <c r="M118" s="1"/>
    </row>
    <row r="119" spans="1:13" ht="14.4" customHeight="1" x14ac:dyDescent="0.3">
      <c r="A119" s="1" t="s">
        <v>74</v>
      </c>
      <c r="B119" s="1" t="s">
        <v>188</v>
      </c>
      <c r="C119" s="8">
        <v>190334</v>
      </c>
      <c r="D119" s="9" t="s">
        <v>162</v>
      </c>
      <c r="E119" s="4" t="s">
        <v>8</v>
      </c>
      <c r="F119" s="4">
        <v>6362</v>
      </c>
      <c r="K119" s="4">
        <v>1</v>
      </c>
      <c r="M119" s="1"/>
    </row>
    <row r="120" spans="1:13" ht="14.4" customHeight="1" x14ac:dyDescent="0.3">
      <c r="A120" s="1" t="s">
        <v>46</v>
      </c>
      <c r="B120" s="1" t="s">
        <v>189</v>
      </c>
      <c r="C120" s="8">
        <v>188960</v>
      </c>
      <c r="D120" s="9" t="s">
        <v>162</v>
      </c>
      <c r="E120" s="4" t="s">
        <v>8</v>
      </c>
      <c r="F120" s="4">
        <v>6362</v>
      </c>
      <c r="K120" s="4">
        <v>1</v>
      </c>
      <c r="M120" s="1"/>
    </row>
    <row r="121" spans="1:13" ht="14.4" customHeight="1" x14ac:dyDescent="0.3">
      <c r="A121" s="1" t="s">
        <v>49</v>
      </c>
      <c r="B121" s="1" t="s">
        <v>190</v>
      </c>
      <c r="C121" s="8">
        <v>187523</v>
      </c>
      <c r="D121" s="9" t="s">
        <v>162</v>
      </c>
      <c r="E121" s="4" t="s">
        <v>8</v>
      </c>
      <c r="F121" s="4">
        <v>6362</v>
      </c>
      <c r="K121" s="4">
        <v>1</v>
      </c>
      <c r="M121" s="1"/>
    </row>
    <row r="122" spans="1:13" ht="14.4" customHeight="1" x14ac:dyDescent="0.3">
      <c r="A122" s="1" t="s">
        <v>191</v>
      </c>
      <c r="B122" s="1" t="s">
        <v>192</v>
      </c>
      <c r="C122" s="8">
        <v>186797</v>
      </c>
      <c r="D122" s="9" t="s">
        <v>162</v>
      </c>
      <c r="E122" s="4" t="s">
        <v>8</v>
      </c>
      <c r="F122" s="4">
        <v>6362</v>
      </c>
      <c r="K122" s="4">
        <v>1</v>
      </c>
      <c r="M122" s="1"/>
    </row>
    <row r="123" spans="1:13" ht="14.4" customHeight="1" x14ac:dyDescent="0.3">
      <c r="A123" s="1" t="s">
        <v>64</v>
      </c>
      <c r="B123" s="1" t="s">
        <v>193</v>
      </c>
      <c r="C123" s="8">
        <v>184635</v>
      </c>
      <c r="D123" s="9" t="s">
        <v>162</v>
      </c>
      <c r="E123" s="4" t="s">
        <v>8</v>
      </c>
      <c r="F123" s="4">
        <v>6362</v>
      </c>
      <c r="K123" s="4">
        <v>1</v>
      </c>
      <c r="M123" s="1"/>
    </row>
    <row r="124" spans="1:13" ht="14.4" customHeight="1" x14ac:dyDescent="0.3">
      <c r="A124" s="1" t="s">
        <v>122</v>
      </c>
      <c r="B124" s="1" t="s">
        <v>194</v>
      </c>
      <c r="C124" s="8">
        <v>181990</v>
      </c>
      <c r="D124" s="9" t="s">
        <v>162</v>
      </c>
      <c r="E124" s="4" t="s">
        <v>8</v>
      </c>
      <c r="F124" s="4">
        <v>6362</v>
      </c>
      <c r="K124" s="4">
        <v>1</v>
      </c>
      <c r="M124" s="1"/>
    </row>
    <row r="125" spans="1:13" ht="14.4" customHeight="1" x14ac:dyDescent="0.3">
      <c r="A125" s="1" t="s">
        <v>38</v>
      </c>
      <c r="B125" s="1" t="s">
        <v>195</v>
      </c>
      <c r="C125" s="8">
        <v>181830</v>
      </c>
      <c r="D125" s="9" t="s">
        <v>162</v>
      </c>
      <c r="E125" s="4" t="s">
        <v>8</v>
      </c>
      <c r="F125" s="4">
        <v>6362</v>
      </c>
      <c r="K125" s="4">
        <v>1</v>
      </c>
      <c r="M125" s="1"/>
    </row>
    <row r="126" spans="1:13" ht="14.4" customHeight="1" x14ac:dyDescent="0.3">
      <c r="A126" s="1" t="s">
        <v>196</v>
      </c>
      <c r="B126" s="1" t="s">
        <v>197</v>
      </c>
      <c r="C126" s="8">
        <v>179586</v>
      </c>
      <c r="D126" s="9" t="s">
        <v>162</v>
      </c>
      <c r="E126" s="4" t="s">
        <v>8</v>
      </c>
      <c r="F126" s="4">
        <v>6362</v>
      </c>
      <c r="K126" s="4">
        <v>1</v>
      </c>
      <c r="M126" s="1"/>
    </row>
    <row r="127" spans="1:13" ht="14.4" customHeight="1" x14ac:dyDescent="0.3">
      <c r="A127" s="1" t="s">
        <v>88</v>
      </c>
      <c r="B127" s="1" t="s">
        <v>198</v>
      </c>
      <c r="C127" s="8">
        <v>175554</v>
      </c>
      <c r="D127" s="9" t="s">
        <v>162</v>
      </c>
      <c r="E127" s="4" t="s">
        <v>8</v>
      </c>
      <c r="F127" s="4">
        <v>6362</v>
      </c>
      <c r="K127" s="4">
        <v>1</v>
      </c>
      <c r="M127" s="1"/>
    </row>
    <row r="128" spans="1:13" ht="14.4" customHeight="1" x14ac:dyDescent="0.3">
      <c r="A128" s="1" t="s">
        <v>66</v>
      </c>
      <c r="B128" s="1" t="s">
        <v>199</v>
      </c>
      <c r="C128" s="8">
        <v>173640</v>
      </c>
      <c r="D128" s="9" t="s">
        <v>162</v>
      </c>
      <c r="E128" s="4" t="s">
        <v>8</v>
      </c>
      <c r="F128" s="4">
        <v>6362</v>
      </c>
      <c r="K128" s="4">
        <v>1</v>
      </c>
      <c r="M128" s="1"/>
    </row>
    <row r="129" spans="1:13" ht="14.4" customHeight="1" x14ac:dyDescent="0.3">
      <c r="A129" s="1" t="s">
        <v>34</v>
      </c>
      <c r="B129" s="1" t="s">
        <v>200</v>
      </c>
      <c r="C129" s="8">
        <v>171406</v>
      </c>
      <c r="D129" s="9" t="s">
        <v>162</v>
      </c>
      <c r="E129" s="4" t="s">
        <v>8</v>
      </c>
      <c r="F129" s="4">
        <v>6362</v>
      </c>
      <c r="K129" s="4">
        <v>1</v>
      </c>
      <c r="M129" s="1"/>
    </row>
    <row r="130" spans="1:13" ht="14.4" customHeight="1" x14ac:dyDescent="0.3">
      <c r="A130" s="1" t="s">
        <v>34</v>
      </c>
      <c r="B130" s="1" t="s">
        <v>201</v>
      </c>
      <c r="C130" s="8">
        <v>168035</v>
      </c>
      <c r="D130" s="9" t="s">
        <v>162</v>
      </c>
      <c r="E130" s="4" t="s">
        <v>8</v>
      </c>
      <c r="F130" s="4">
        <v>6362</v>
      </c>
      <c r="K130" s="4">
        <v>1</v>
      </c>
      <c r="M130" s="1"/>
    </row>
    <row r="131" spans="1:13" ht="14.4" customHeight="1" x14ac:dyDescent="0.3">
      <c r="A131" s="1" t="s">
        <v>30</v>
      </c>
      <c r="B131" s="1" t="s">
        <v>202</v>
      </c>
      <c r="C131" s="8">
        <v>167160</v>
      </c>
      <c r="D131" s="9" t="s">
        <v>162</v>
      </c>
      <c r="E131" s="4" t="s">
        <v>8</v>
      </c>
      <c r="F131" s="4">
        <v>6362</v>
      </c>
      <c r="K131" s="4">
        <v>1</v>
      </c>
      <c r="M131" s="1"/>
    </row>
    <row r="132" spans="1:13" ht="14.4" customHeight="1" x14ac:dyDescent="0.3">
      <c r="A132" s="1" t="s">
        <v>22</v>
      </c>
      <c r="B132" s="1" t="s">
        <v>203</v>
      </c>
      <c r="C132" s="8">
        <v>166086</v>
      </c>
      <c r="D132" s="9" t="s">
        <v>162</v>
      </c>
      <c r="E132" s="4" t="s">
        <v>8</v>
      </c>
      <c r="F132" s="4">
        <v>6362</v>
      </c>
      <c r="K132" s="4">
        <v>1</v>
      </c>
      <c r="M132" s="1"/>
    </row>
    <row r="133" spans="1:13" ht="14.4" customHeight="1" x14ac:dyDescent="0.3">
      <c r="A133" s="1" t="s">
        <v>28</v>
      </c>
      <c r="B133" s="1" t="s">
        <v>204</v>
      </c>
      <c r="C133" s="8">
        <v>163919</v>
      </c>
      <c r="D133" s="9" t="s">
        <v>162</v>
      </c>
      <c r="E133" s="4" t="s">
        <v>8</v>
      </c>
      <c r="F133" s="4">
        <v>6362</v>
      </c>
      <c r="K133" s="4">
        <v>1</v>
      </c>
      <c r="M133" s="1"/>
    </row>
    <row r="134" spans="1:13" ht="14.4" customHeight="1" x14ac:dyDescent="0.3">
      <c r="A134" s="1" t="s">
        <v>24</v>
      </c>
      <c r="B134" s="1" t="s">
        <v>205</v>
      </c>
      <c r="C134" s="8">
        <v>158429</v>
      </c>
      <c r="D134" s="9" t="s">
        <v>162</v>
      </c>
      <c r="E134" s="4" t="s">
        <v>8</v>
      </c>
      <c r="F134" s="4">
        <v>6362</v>
      </c>
      <c r="K134" s="4">
        <v>1</v>
      </c>
      <c r="M134" s="1"/>
    </row>
    <row r="135" spans="1:13" ht="14.4" customHeight="1" x14ac:dyDescent="0.3">
      <c r="A135" s="1" t="s">
        <v>88</v>
      </c>
      <c r="B135" s="1" t="s">
        <v>206</v>
      </c>
      <c r="C135" s="8">
        <v>156026</v>
      </c>
      <c r="D135" s="9" t="s">
        <v>162</v>
      </c>
      <c r="E135" s="4" t="s">
        <v>8</v>
      </c>
      <c r="F135" s="4">
        <v>6362</v>
      </c>
      <c r="K135" s="4">
        <v>1</v>
      </c>
      <c r="M135" s="1"/>
    </row>
    <row r="136" spans="1:13" ht="14.4" customHeight="1" x14ac:dyDescent="0.3">
      <c r="A136" s="1" t="s">
        <v>124</v>
      </c>
      <c r="B136" s="1" t="s">
        <v>207</v>
      </c>
      <c r="C136" s="8">
        <v>151548</v>
      </c>
      <c r="D136" s="9" t="s">
        <v>162</v>
      </c>
      <c r="E136" s="4" t="s">
        <v>8</v>
      </c>
      <c r="F136" s="4">
        <v>6362</v>
      </c>
      <c r="K136" s="4">
        <v>1</v>
      </c>
      <c r="M136" s="1"/>
    </row>
    <row r="137" spans="1:13" ht="14.4" customHeight="1" x14ac:dyDescent="0.3">
      <c r="A137" s="1" t="s">
        <v>28</v>
      </c>
      <c r="B137" s="1" t="s">
        <v>208</v>
      </c>
      <c r="C137" s="8">
        <v>151472</v>
      </c>
      <c r="D137" s="9" t="s">
        <v>162</v>
      </c>
      <c r="E137" s="4" t="s">
        <v>8</v>
      </c>
      <c r="F137" s="4">
        <v>6362</v>
      </c>
      <c r="K137" s="4">
        <v>1</v>
      </c>
      <c r="M137" s="1"/>
    </row>
    <row r="138" spans="1:13" ht="14.4" customHeight="1" x14ac:dyDescent="0.3">
      <c r="A138" s="1" t="s">
        <v>36</v>
      </c>
      <c r="B138" s="1" t="s">
        <v>209</v>
      </c>
      <c r="C138" s="8">
        <v>150500</v>
      </c>
      <c r="D138" s="9" t="s">
        <v>162</v>
      </c>
      <c r="E138" s="4" t="s">
        <v>8</v>
      </c>
      <c r="F138" s="4">
        <v>6362</v>
      </c>
      <c r="K138" s="4">
        <v>1</v>
      </c>
      <c r="M138" s="1"/>
    </row>
    <row r="139" spans="1:13" ht="14.4" customHeight="1" x14ac:dyDescent="0.3">
      <c r="A139" s="1" t="s">
        <v>99</v>
      </c>
      <c r="B139" s="1" t="s">
        <v>210</v>
      </c>
      <c r="C139" s="8">
        <v>147861</v>
      </c>
      <c r="D139" s="9" t="s">
        <v>162</v>
      </c>
      <c r="E139" s="4" t="s">
        <v>8</v>
      </c>
      <c r="F139" s="4">
        <v>6362</v>
      </c>
      <c r="K139" s="4">
        <v>1</v>
      </c>
      <c r="M139" s="1"/>
    </row>
    <row r="140" spans="1:13" ht="14.4" customHeight="1" x14ac:dyDescent="0.3">
      <c r="A140" s="1" t="s">
        <v>28</v>
      </c>
      <c r="B140" s="1" t="s">
        <v>211</v>
      </c>
      <c r="C140" s="8">
        <v>147634</v>
      </c>
      <c r="D140" s="9" t="s">
        <v>162</v>
      </c>
      <c r="E140" s="4" t="s">
        <v>8</v>
      </c>
      <c r="F140" s="4">
        <v>6362</v>
      </c>
      <c r="K140" s="4">
        <v>1</v>
      </c>
      <c r="M140" s="1"/>
    </row>
    <row r="141" spans="1:13" ht="14.4" customHeight="1" x14ac:dyDescent="0.3">
      <c r="A141" s="1" t="s">
        <v>66</v>
      </c>
      <c r="B141" s="1" t="s">
        <v>212</v>
      </c>
      <c r="C141" s="8">
        <v>145159</v>
      </c>
      <c r="D141" s="9" t="s">
        <v>162</v>
      </c>
      <c r="E141" s="4" t="s">
        <v>8</v>
      </c>
      <c r="F141" s="4">
        <v>6362</v>
      </c>
      <c r="K141" s="4">
        <v>1</v>
      </c>
      <c r="M141" s="1"/>
    </row>
    <row r="142" spans="1:13" ht="14.4" customHeight="1" x14ac:dyDescent="0.3">
      <c r="A142" s="1" t="s">
        <v>68</v>
      </c>
      <c r="B142" s="1" t="s">
        <v>213</v>
      </c>
      <c r="C142" s="8">
        <v>145109</v>
      </c>
      <c r="D142" s="9" t="s">
        <v>162</v>
      </c>
      <c r="E142" s="4" t="s">
        <v>8</v>
      </c>
      <c r="F142" s="4">
        <v>6362</v>
      </c>
      <c r="K142" s="4">
        <v>1</v>
      </c>
      <c r="M142" s="1"/>
    </row>
    <row r="143" spans="1:13" ht="14.4" customHeight="1" x14ac:dyDescent="0.3">
      <c r="A143" s="1" t="s">
        <v>56</v>
      </c>
      <c r="B143" s="1" t="s">
        <v>214</v>
      </c>
      <c r="C143" s="8">
        <v>141584</v>
      </c>
      <c r="D143" s="9" t="s">
        <v>162</v>
      </c>
      <c r="E143" s="4" t="s">
        <v>8</v>
      </c>
      <c r="F143" s="4">
        <v>6362</v>
      </c>
      <c r="K143" s="4">
        <v>1</v>
      </c>
      <c r="M143" s="1"/>
    </row>
    <row r="144" spans="1:13" ht="14.4" customHeight="1" x14ac:dyDescent="0.3">
      <c r="A144" s="1" t="s">
        <v>215</v>
      </c>
      <c r="B144" s="1" t="s">
        <v>216</v>
      </c>
      <c r="C144" s="8">
        <v>141475</v>
      </c>
      <c r="D144" s="9" t="s">
        <v>162</v>
      </c>
      <c r="E144" s="4" t="s">
        <v>8</v>
      </c>
      <c r="F144" s="4">
        <v>6362</v>
      </c>
      <c r="K144" s="4">
        <v>1</v>
      </c>
      <c r="M144" s="1"/>
    </row>
    <row r="145" spans="1:13" ht="14.4" customHeight="1" x14ac:dyDescent="0.3">
      <c r="A145" s="1" t="s">
        <v>88</v>
      </c>
      <c r="B145" s="1" t="s">
        <v>217</v>
      </c>
      <c r="C145" s="8">
        <v>140129</v>
      </c>
      <c r="D145" s="9" t="s">
        <v>162</v>
      </c>
      <c r="E145" s="4" t="s">
        <v>8</v>
      </c>
      <c r="F145" s="4">
        <v>6362</v>
      </c>
      <c r="K145" s="4">
        <v>1</v>
      </c>
      <c r="M145" s="1"/>
    </row>
    <row r="146" spans="1:13" ht="14.4" customHeight="1" x14ac:dyDescent="0.3">
      <c r="A146" s="1" t="s">
        <v>42</v>
      </c>
      <c r="B146" s="1" t="s">
        <v>218</v>
      </c>
      <c r="C146" s="8">
        <v>139209</v>
      </c>
      <c r="D146" s="9" t="s">
        <v>162</v>
      </c>
      <c r="E146" s="4" t="s">
        <v>8</v>
      </c>
      <c r="F146" s="4">
        <v>6362</v>
      </c>
      <c r="K146" s="4">
        <v>1</v>
      </c>
      <c r="M146" s="1"/>
    </row>
    <row r="147" spans="1:13" ht="14.4" customHeight="1" x14ac:dyDescent="0.3">
      <c r="A147" s="1" t="s">
        <v>88</v>
      </c>
      <c r="B147" s="1" t="s">
        <v>219</v>
      </c>
      <c r="C147" s="8">
        <v>137160</v>
      </c>
      <c r="D147" s="9" t="s">
        <v>162</v>
      </c>
      <c r="E147" s="4" t="s">
        <v>8</v>
      </c>
      <c r="F147" s="4">
        <v>6362</v>
      </c>
      <c r="K147" s="4">
        <v>1</v>
      </c>
      <c r="M147" s="1"/>
    </row>
    <row r="148" spans="1:13" ht="14.4" customHeight="1" x14ac:dyDescent="0.3">
      <c r="A148" s="1" t="s">
        <v>117</v>
      </c>
      <c r="B148" s="1" t="s">
        <v>220</v>
      </c>
      <c r="C148" s="8">
        <v>135715</v>
      </c>
      <c r="D148" s="9" t="s">
        <v>162</v>
      </c>
      <c r="E148" s="4" t="s">
        <v>8</v>
      </c>
      <c r="F148" s="4">
        <v>6362</v>
      </c>
      <c r="K148" s="4">
        <v>1</v>
      </c>
      <c r="M148" s="1"/>
    </row>
    <row r="149" spans="1:13" ht="14.4" customHeight="1" x14ac:dyDescent="0.3">
      <c r="A149" s="1" t="s">
        <v>88</v>
      </c>
      <c r="B149" s="1" t="s">
        <v>221</v>
      </c>
      <c r="C149" s="8">
        <v>135506</v>
      </c>
      <c r="D149" s="9" t="s">
        <v>162</v>
      </c>
      <c r="E149" s="4" t="s">
        <v>8</v>
      </c>
      <c r="F149" s="4">
        <v>6362</v>
      </c>
      <c r="K149" s="4">
        <v>1</v>
      </c>
      <c r="M149" s="1"/>
    </row>
    <row r="150" spans="1:13" ht="14.4" customHeight="1" x14ac:dyDescent="0.3">
      <c r="A150" s="1" t="s">
        <v>36</v>
      </c>
      <c r="B150" s="1" t="s">
        <v>222</v>
      </c>
      <c r="C150" s="8">
        <v>131138</v>
      </c>
      <c r="D150" s="9" t="s">
        <v>162</v>
      </c>
      <c r="E150" s="4" t="s">
        <v>8</v>
      </c>
      <c r="F150" s="4">
        <v>6362</v>
      </c>
      <c r="K150" s="4">
        <v>1</v>
      </c>
      <c r="M150" s="1"/>
    </row>
    <row r="151" spans="1:13" ht="14.4" customHeight="1" x14ac:dyDescent="0.3">
      <c r="A151" s="1" t="s">
        <v>99</v>
      </c>
      <c r="B151" s="1" t="s">
        <v>223</v>
      </c>
      <c r="C151" s="8">
        <v>128779</v>
      </c>
      <c r="D151" s="9" t="s">
        <v>162</v>
      </c>
      <c r="E151" s="4" t="s">
        <v>8</v>
      </c>
      <c r="F151" s="4">
        <v>6362</v>
      </c>
      <c r="K151" s="4">
        <v>1</v>
      </c>
      <c r="M151" s="1"/>
    </row>
    <row r="152" spans="1:13" ht="14.4" customHeight="1" x14ac:dyDescent="0.3">
      <c r="A152" s="1" t="s">
        <v>34</v>
      </c>
      <c r="B152" s="1" t="s">
        <v>224</v>
      </c>
      <c r="C152" s="8">
        <v>127919</v>
      </c>
      <c r="D152" s="9" t="s">
        <v>162</v>
      </c>
      <c r="E152" s="4" t="s">
        <v>8</v>
      </c>
      <c r="F152" s="4">
        <v>6362</v>
      </c>
      <c r="K152" s="4">
        <v>1</v>
      </c>
      <c r="M152" s="1"/>
    </row>
    <row r="153" spans="1:13" ht="14.4" customHeight="1" x14ac:dyDescent="0.3">
      <c r="A153" s="1" t="s">
        <v>225</v>
      </c>
      <c r="B153" s="1" t="s">
        <v>226</v>
      </c>
      <c r="C153" s="8">
        <v>127255</v>
      </c>
      <c r="D153" s="9" t="s">
        <v>162</v>
      </c>
      <c r="E153" s="4" t="s">
        <v>8</v>
      </c>
      <c r="F153" s="4">
        <v>6362</v>
      </c>
      <c r="K153" s="4">
        <v>1</v>
      </c>
      <c r="M153" s="1"/>
    </row>
    <row r="154" spans="1:13" ht="14.4" customHeight="1" x14ac:dyDescent="0.3">
      <c r="A154" s="1" t="s">
        <v>227</v>
      </c>
      <c r="B154" s="1" t="s">
        <v>228</v>
      </c>
      <c r="C154" s="8">
        <v>127226</v>
      </c>
      <c r="D154" s="9" t="s">
        <v>162</v>
      </c>
      <c r="E154" s="4" t="s">
        <v>8</v>
      </c>
      <c r="F154" s="4">
        <v>6362</v>
      </c>
      <c r="K154" s="4">
        <v>1</v>
      </c>
      <c r="M154" s="1"/>
    </row>
    <row r="155" spans="1:13" ht="14.4" customHeight="1" x14ac:dyDescent="0.3">
      <c r="A155" s="1" t="s">
        <v>88</v>
      </c>
      <c r="B155" s="1" t="s">
        <v>229</v>
      </c>
      <c r="C155" s="8">
        <v>126273</v>
      </c>
      <c r="D155" s="9" t="s">
        <v>162</v>
      </c>
      <c r="E155" s="4" t="s">
        <v>8</v>
      </c>
      <c r="F155" s="4">
        <v>6362</v>
      </c>
      <c r="K155" s="4">
        <v>1</v>
      </c>
      <c r="M155" s="1"/>
    </row>
    <row r="156" spans="1:13" ht="14.4" customHeight="1" x14ac:dyDescent="0.3">
      <c r="A156" s="1" t="s">
        <v>88</v>
      </c>
      <c r="B156" s="1" t="s">
        <v>230</v>
      </c>
      <c r="C156" s="8">
        <v>126109</v>
      </c>
      <c r="D156" s="9" t="s">
        <v>162</v>
      </c>
      <c r="E156" s="4" t="s">
        <v>8</v>
      </c>
      <c r="F156" s="4">
        <v>6362</v>
      </c>
      <c r="K156" s="4">
        <v>1</v>
      </c>
      <c r="M156" s="1"/>
    </row>
    <row r="157" spans="1:13" ht="14.4" customHeight="1" x14ac:dyDescent="0.3">
      <c r="A157" s="1" t="s">
        <v>68</v>
      </c>
      <c r="B157" s="1" t="s">
        <v>231</v>
      </c>
      <c r="C157" s="8">
        <v>125832</v>
      </c>
      <c r="D157" s="9" t="s">
        <v>162</v>
      </c>
      <c r="E157" s="4" t="s">
        <v>8</v>
      </c>
      <c r="F157" s="4">
        <v>6362</v>
      </c>
      <c r="K157" s="4">
        <v>1</v>
      </c>
      <c r="M157" s="1"/>
    </row>
    <row r="158" spans="1:13" ht="14.4" customHeight="1" x14ac:dyDescent="0.3">
      <c r="A158" s="1" t="s">
        <v>68</v>
      </c>
      <c r="B158" s="1" t="s">
        <v>232</v>
      </c>
      <c r="C158" s="8">
        <v>123988</v>
      </c>
      <c r="D158" s="9" t="s">
        <v>162</v>
      </c>
      <c r="E158" s="4" t="s">
        <v>8</v>
      </c>
      <c r="F158" s="4">
        <v>6362</v>
      </c>
      <c r="K158" s="4">
        <v>1</v>
      </c>
      <c r="M158" s="1"/>
    </row>
    <row r="159" spans="1:13" ht="14.4" customHeight="1" x14ac:dyDescent="0.3">
      <c r="A159" s="1" t="s">
        <v>233</v>
      </c>
      <c r="B159" s="1" t="s">
        <v>234</v>
      </c>
      <c r="C159" s="8">
        <v>123168</v>
      </c>
      <c r="D159" s="9" t="s">
        <v>162</v>
      </c>
      <c r="E159" s="4" t="s">
        <v>8</v>
      </c>
      <c r="F159" s="4">
        <v>6362</v>
      </c>
      <c r="K159" s="4">
        <v>1</v>
      </c>
      <c r="M159" s="1"/>
    </row>
    <row r="160" spans="1:13" ht="14.4" customHeight="1" x14ac:dyDescent="0.3">
      <c r="A160" s="1" t="s">
        <v>95</v>
      </c>
      <c r="B160" s="1" t="s">
        <v>235</v>
      </c>
      <c r="C160" s="8">
        <v>122306</v>
      </c>
      <c r="D160" s="9" t="s">
        <v>162</v>
      </c>
      <c r="E160" s="4" t="s">
        <v>8</v>
      </c>
      <c r="F160" s="4">
        <v>6362</v>
      </c>
      <c r="K160" s="4">
        <v>1</v>
      </c>
      <c r="M160" s="1"/>
    </row>
    <row r="161" spans="1:13" ht="14.4" customHeight="1" x14ac:dyDescent="0.3">
      <c r="A161" s="1" t="s">
        <v>236</v>
      </c>
      <c r="B161" s="1" t="s">
        <v>237</v>
      </c>
      <c r="C161" s="8">
        <v>122261</v>
      </c>
      <c r="D161" s="9" t="s">
        <v>162</v>
      </c>
      <c r="E161" s="4" t="s">
        <v>8</v>
      </c>
      <c r="F161" s="4">
        <v>6362</v>
      </c>
      <c r="K161" s="4">
        <v>1</v>
      </c>
      <c r="M161" s="1"/>
    </row>
    <row r="162" spans="1:13" ht="14.4" customHeight="1" x14ac:dyDescent="0.3">
      <c r="A162" s="1" t="s">
        <v>88</v>
      </c>
      <c r="B162" s="1" t="s">
        <v>238</v>
      </c>
      <c r="C162" s="8">
        <v>121908</v>
      </c>
      <c r="D162" s="9" t="s">
        <v>162</v>
      </c>
      <c r="E162" s="4" t="s">
        <v>8</v>
      </c>
      <c r="F162" s="4">
        <v>6362</v>
      </c>
      <c r="K162" s="4">
        <v>1</v>
      </c>
      <c r="M162" s="1"/>
    </row>
    <row r="163" spans="1:13" ht="14.4" customHeight="1" x14ac:dyDescent="0.3">
      <c r="A163" s="1" t="s">
        <v>22</v>
      </c>
      <c r="B163" s="1" t="s">
        <v>239</v>
      </c>
      <c r="C163" s="8">
        <v>120778</v>
      </c>
      <c r="D163" s="9" t="s">
        <v>162</v>
      </c>
      <c r="E163" s="4" t="s">
        <v>8</v>
      </c>
      <c r="F163" s="4">
        <v>6362</v>
      </c>
      <c r="K163" s="4">
        <v>1</v>
      </c>
      <c r="M163" s="1"/>
    </row>
    <row r="164" spans="1:13" ht="14.4" customHeight="1" x14ac:dyDescent="0.3">
      <c r="A164" s="1" t="s">
        <v>240</v>
      </c>
      <c r="B164" s="1" t="s">
        <v>241</v>
      </c>
      <c r="C164" s="8">
        <v>119438</v>
      </c>
      <c r="D164" s="9" t="s">
        <v>162</v>
      </c>
      <c r="E164" s="4" t="s">
        <v>8</v>
      </c>
      <c r="F164" s="4">
        <v>6362</v>
      </c>
      <c r="K164" s="4">
        <v>1</v>
      </c>
      <c r="M164" s="1"/>
    </row>
    <row r="165" spans="1:13" ht="14.4" customHeight="1" x14ac:dyDescent="0.3">
      <c r="A165" s="1" t="s">
        <v>88</v>
      </c>
      <c r="B165" s="1" t="s">
        <v>242</v>
      </c>
      <c r="C165" s="8">
        <v>118309</v>
      </c>
      <c r="D165" s="9" t="s">
        <v>162</v>
      </c>
      <c r="E165" s="4" t="s">
        <v>8</v>
      </c>
      <c r="F165" s="4">
        <v>6362</v>
      </c>
      <c r="K165" s="4">
        <v>1</v>
      </c>
      <c r="M165" s="1"/>
    </row>
    <row r="166" spans="1:13" ht="14.4" customHeight="1" x14ac:dyDescent="0.3">
      <c r="A166" s="1" t="s">
        <v>243</v>
      </c>
      <c r="B166" s="1" t="s">
        <v>244</v>
      </c>
      <c r="C166" s="8">
        <v>118033</v>
      </c>
      <c r="D166" s="9" t="s">
        <v>162</v>
      </c>
      <c r="E166" s="4" t="s">
        <v>8</v>
      </c>
      <c r="F166" s="4">
        <v>6362</v>
      </c>
      <c r="K166" s="4">
        <v>1</v>
      </c>
      <c r="M166" s="1"/>
    </row>
    <row r="167" spans="1:13" ht="14.4" customHeight="1" x14ac:dyDescent="0.3">
      <c r="A167" s="1" t="s">
        <v>126</v>
      </c>
      <c r="B167" s="1" t="s">
        <v>245</v>
      </c>
      <c r="C167" s="8">
        <v>117419</v>
      </c>
      <c r="D167" s="9" t="s">
        <v>162</v>
      </c>
      <c r="E167" s="4" t="s">
        <v>8</v>
      </c>
      <c r="F167" s="4">
        <v>6362</v>
      </c>
      <c r="K167" s="4">
        <v>1</v>
      </c>
      <c r="M167" s="1"/>
    </row>
    <row r="168" spans="1:13" ht="14.4" customHeight="1" x14ac:dyDescent="0.3">
      <c r="A168" s="1" t="s">
        <v>99</v>
      </c>
      <c r="B168" s="1" t="s">
        <v>246</v>
      </c>
      <c r="C168" s="8">
        <v>116751</v>
      </c>
      <c r="D168" s="9" t="s">
        <v>162</v>
      </c>
      <c r="E168" s="4" t="s">
        <v>8</v>
      </c>
      <c r="F168" s="4">
        <v>6362</v>
      </c>
      <c r="K168" s="4">
        <v>1</v>
      </c>
      <c r="M168" s="1"/>
    </row>
    <row r="169" spans="1:13" ht="14.4" customHeight="1" x14ac:dyDescent="0.3">
      <c r="A169" s="1" t="s">
        <v>88</v>
      </c>
      <c r="B169" s="1" t="s">
        <v>247</v>
      </c>
      <c r="C169" s="8">
        <v>116038</v>
      </c>
      <c r="D169" s="9" t="s">
        <v>162</v>
      </c>
      <c r="E169" s="4" t="s">
        <v>8</v>
      </c>
      <c r="F169" s="4">
        <v>6362</v>
      </c>
      <c r="K169" s="4">
        <v>1</v>
      </c>
      <c r="M169" s="1"/>
    </row>
    <row r="170" spans="1:13" ht="14.4" customHeight="1" x14ac:dyDescent="0.3">
      <c r="A170" s="1" t="s">
        <v>36</v>
      </c>
      <c r="B170" s="1" t="s">
        <v>248</v>
      </c>
      <c r="C170" s="8">
        <v>114100</v>
      </c>
      <c r="D170" s="9" t="s">
        <v>162</v>
      </c>
      <c r="E170" s="4" t="s">
        <v>8</v>
      </c>
      <c r="F170" s="4">
        <v>6362</v>
      </c>
      <c r="K170" s="4">
        <v>1</v>
      </c>
      <c r="M170" s="1"/>
    </row>
    <row r="171" spans="1:13" ht="14.4" customHeight="1" x14ac:dyDescent="0.3">
      <c r="A171" s="1" t="s">
        <v>58</v>
      </c>
      <c r="B171" s="1" t="s">
        <v>249</v>
      </c>
      <c r="C171" s="8">
        <v>113472</v>
      </c>
      <c r="D171" s="9" t="s">
        <v>162</v>
      </c>
      <c r="E171" s="4" t="s">
        <v>8</v>
      </c>
      <c r="F171" s="4">
        <v>6362</v>
      </c>
      <c r="K171" s="4">
        <v>1</v>
      </c>
      <c r="M171" s="1"/>
    </row>
    <row r="172" spans="1:13" ht="14.4" customHeight="1" x14ac:dyDescent="0.3">
      <c r="A172" s="1" t="s">
        <v>99</v>
      </c>
      <c r="B172" s="1" t="s">
        <v>250</v>
      </c>
      <c r="C172" s="8">
        <v>113056</v>
      </c>
      <c r="D172" s="9" t="s">
        <v>162</v>
      </c>
      <c r="E172" s="4" t="s">
        <v>8</v>
      </c>
      <c r="F172" s="4">
        <v>6362</v>
      </c>
      <c r="K172" s="4">
        <v>1</v>
      </c>
      <c r="M172" s="1"/>
    </row>
    <row r="173" spans="1:13" ht="14.4" customHeight="1" x14ac:dyDescent="0.3">
      <c r="A173" s="1" t="s">
        <v>44</v>
      </c>
      <c r="B173" s="1" t="s">
        <v>251</v>
      </c>
      <c r="C173" s="8">
        <v>109910</v>
      </c>
      <c r="D173" s="9" t="s">
        <v>162</v>
      </c>
      <c r="E173" s="4" t="s">
        <v>8</v>
      </c>
      <c r="F173" s="4">
        <v>6362</v>
      </c>
      <c r="K173" s="4">
        <v>1</v>
      </c>
      <c r="M173" s="1"/>
    </row>
    <row r="174" spans="1:13" ht="14.4" customHeight="1" x14ac:dyDescent="0.3">
      <c r="A174" s="1" t="s">
        <v>124</v>
      </c>
      <c r="B174" s="1" t="s">
        <v>252</v>
      </c>
      <c r="C174" s="8">
        <v>108248</v>
      </c>
      <c r="D174" s="9" t="s">
        <v>162</v>
      </c>
      <c r="E174" s="4" t="s">
        <v>8</v>
      </c>
      <c r="F174" s="4">
        <v>6362</v>
      </c>
      <c r="K174" s="4">
        <v>1</v>
      </c>
      <c r="M174" s="1"/>
    </row>
    <row r="175" spans="1:13" ht="14.4" customHeight="1" x14ac:dyDescent="0.3">
      <c r="A175" s="1" t="s">
        <v>88</v>
      </c>
      <c r="B175" s="1" t="s">
        <v>253</v>
      </c>
      <c r="C175" s="8">
        <v>108054</v>
      </c>
      <c r="D175" s="9" t="s">
        <v>162</v>
      </c>
      <c r="E175" s="4" t="s">
        <v>8</v>
      </c>
      <c r="F175" s="4">
        <v>6362</v>
      </c>
      <c r="K175" s="4">
        <v>1</v>
      </c>
      <c r="M175" s="1"/>
    </row>
    <row r="176" spans="1:13" ht="14.4" customHeight="1" x14ac:dyDescent="0.3">
      <c r="A176" s="1" t="s">
        <v>88</v>
      </c>
      <c r="B176" s="1" t="s">
        <v>254</v>
      </c>
      <c r="C176" s="8">
        <v>107580</v>
      </c>
      <c r="D176" s="9" t="s">
        <v>162</v>
      </c>
      <c r="E176" s="4" t="s">
        <v>8</v>
      </c>
      <c r="F176" s="4">
        <v>6362</v>
      </c>
      <c r="K176" s="4">
        <v>1</v>
      </c>
      <c r="M176" s="1"/>
    </row>
    <row r="177" spans="1:13" ht="14.4" customHeight="1" x14ac:dyDescent="0.3">
      <c r="A177" s="1" t="s">
        <v>88</v>
      </c>
      <c r="B177" s="1" t="s">
        <v>255</v>
      </c>
      <c r="C177" s="8">
        <v>107560</v>
      </c>
      <c r="D177" s="9" t="s">
        <v>162</v>
      </c>
      <c r="E177" s="4" t="s">
        <v>8</v>
      </c>
      <c r="F177" s="4">
        <v>6362</v>
      </c>
      <c r="K177" s="4">
        <v>1</v>
      </c>
      <c r="M177" s="1"/>
    </row>
    <row r="178" spans="1:13" ht="14.4" customHeight="1" x14ac:dyDescent="0.3">
      <c r="A178" s="1" t="s">
        <v>117</v>
      </c>
      <c r="B178" s="1" t="s">
        <v>256</v>
      </c>
      <c r="C178" s="8">
        <v>106984</v>
      </c>
      <c r="D178" s="9" t="s">
        <v>162</v>
      </c>
      <c r="E178" s="4" t="s">
        <v>8</v>
      </c>
      <c r="F178" s="4">
        <v>6362</v>
      </c>
      <c r="K178" s="4">
        <v>1</v>
      </c>
      <c r="M178" s="1"/>
    </row>
    <row r="179" spans="1:13" ht="14.4" customHeight="1" x14ac:dyDescent="0.3">
      <c r="A179" s="1" t="s">
        <v>243</v>
      </c>
      <c r="B179" s="1" t="s">
        <v>257</v>
      </c>
      <c r="C179" s="8">
        <v>106911</v>
      </c>
      <c r="D179" s="9" t="s">
        <v>162</v>
      </c>
      <c r="E179" s="4" t="s">
        <v>8</v>
      </c>
      <c r="F179" s="4">
        <v>6362</v>
      </c>
      <c r="K179" s="4">
        <v>1</v>
      </c>
      <c r="M179" s="1"/>
    </row>
    <row r="180" spans="1:13" ht="14.4" customHeight="1" x14ac:dyDescent="0.3">
      <c r="A180" s="1" t="s">
        <v>34</v>
      </c>
      <c r="B180" s="1" t="s">
        <v>258</v>
      </c>
      <c r="C180" s="8">
        <v>106534</v>
      </c>
      <c r="D180" s="9" t="s">
        <v>162</v>
      </c>
      <c r="E180" s="4" t="s">
        <v>8</v>
      </c>
      <c r="F180" s="4">
        <v>6362</v>
      </c>
      <c r="K180" s="4">
        <v>1</v>
      </c>
      <c r="M180" s="1"/>
    </row>
    <row r="181" spans="1:13" ht="14.4" customHeight="1" x14ac:dyDescent="0.3">
      <c r="A181" s="1" t="s">
        <v>70</v>
      </c>
      <c r="B181" s="1" t="s">
        <v>259</v>
      </c>
      <c r="C181" s="8">
        <v>106516</v>
      </c>
      <c r="D181" s="9" t="s">
        <v>162</v>
      </c>
      <c r="E181" s="4" t="s">
        <v>8</v>
      </c>
      <c r="F181" s="4">
        <v>6362</v>
      </c>
      <c r="K181" s="4">
        <v>1</v>
      </c>
      <c r="M181" s="1"/>
    </row>
    <row r="182" spans="1:13" ht="14.4" customHeight="1" x14ac:dyDescent="0.3">
      <c r="A182" s="1" t="s">
        <v>66</v>
      </c>
      <c r="B182" s="1" t="s">
        <v>260</v>
      </c>
      <c r="C182" s="8">
        <v>105675</v>
      </c>
      <c r="D182" s="9" t="s">
        <v>162</v>
      </c>
      <c r="E182" s="4" t="s">
        <v>8</v>
      </c>
      <c r="F182" s="4">
        <v>6362</v>
      </c>
      <c r="K182" s="4">
        <v>1</v>
      </c>
      <c r="M182" s="1"/>
    </row>
    <row r="183" spans="1:13" ht="14.4" customHeight="1" x14ac:dyDescent="0.3">
      <c r="A183" s="1" t="s">
        <v>38</v>
      </c>
      <c r="B183" s="1" t="s">
        <v>261</v>
      </c>
      <c r="C183" s="8">
        <v>105531</v>
      </c>
      <c r="D183" s="9" t="s">
        <v>162</v>
      </c>
      <c r="E183" s="4" t="s">
        <v>8</v>
      </c>
      <c r="F183" s="4">
        <v>6362</v>
      </c>
      <c r="K183" s="4">
        <v>1</v>
      </c>
      <c r="M183" s="1"/>
    </row>
    <row r="184" spans="1:13" ht="14.4" customHeight="1" x14ac:dyDescent="0.3">
      <c r="A184" s="1" t="s">
        <v>19</v>
      </c>
      <c r="B184" s="1" t="s">
        <v>262</v>
      </c>
      <c r="C184" s="8">
        <v>104334</v>
      </c>
      <c r="D184" s="9" t="s">
        <v>162</v>
      </c>
      <c r="E184" s="4" t="s">
        <v>8</v>
      </c>
      <c r="F184" s="4">
        <v>6362</v>
      </c>
      <c r="K184" s="4">
        <v>1</v>
      </c>
      <c r="M184" s="1"/>
    </row>
    <row r="185" spans="1:13" ht="14.4" customHeight="1" x14ac:dyDescent="0.3">
      <c r="A185" s="1" t="s">
        <v>26</v>
      </c>
      <c r="B185" s="1" t="s">
        <v>263</v>
      </c>
      <c r="C185" s="8">
        <v>103979</v>
      </c>
      <c r="D185" s="9" t="s">
        <v>162</v>
      </c>
      <c r="E185" s="4" t="s">
        <v>8</v>
      </c>
      <c r="F185" s="4">
        <v>6362</v>
      </c>
      <c r="K185" s="4">
        <v>1</v>
      </c>
      <c r="M185" s="1"/>
    </row>
    <row r="186" spans="1:13" ht="14.4" customHeight="1" x14ac:dyDescent="0.3">
      <c r="A186" s="1" t="s">
        <v>88</v>
      </c>
      <c r="B186" s="1" t="s">
        <v>264</v>
      </c>
      <c r="C186" s="8">
        <v>103967</v>
      </c>
      <c r="D186" s="9" t="s">
        <v>162</v>
      </c>
      <c r="E186" s="4" t="s">
        <v>8</v>
      </c>
      <c r="F186" s="4">
        <v>6362</v>
      </c>
      <c r="K186" s="4">
        <v>1</v>
      </c>
      <c r="M186" s="1"/>
    </row>
    <row r="187" spans="1:13" ht="14.4" customHeight="1" x14ac:dyDescent="0.3">
      <c r="A187" s="1" t="s">
        <v>265</v>
      </c>
      <c r="B187" s="1" t="s">
        <v>266</v>
      </c>
      <c r="C187" s="8">
        <v>103122</v>
      </c>
      <c r="D187" s="9" t="s">
        <v>162</v>
      </c>
      <c r="E187" s="4" t="s">
        <v>8</v>
      </c>
      <c r="F187" s="4">
        <v>6362</v>
      </c>
      <c r="K187" s="4">
        <v>1</v>
      </c>
      <c r="M187" s="1"/>
    </row>
    <row r="188" spans="1:13" ht="14.4" customHeight="1" x14ac:dyDescent="0.3">
      <c r="A188" s="1" t="s">
        <v>86</v>
      </c>
      <c r="B188" s="1" t="s">
        <v>267</v>
      </c>
      <c r="C188" s="8">
        <v>102313</v>
      </c>
      <c r="D188" s="9" t="s">
        <v>162</v>
      </c>
      <c r="E188" s="4" t="s">
        <v>8</v>
      </c>
      <c r="F188" s="4">
        <v>6362</v>
      </c>
      <c r="K188" s="4">
        <v>1</v>
      </c>
      <c r="M188" s="1"/>
    </row>
    <row r="189" spans="1:13" ht="14.4" customHeight="1" x14ac:dyDescent="0.3">
      <c r="A189" s="1" t="s">
        <v>115</v>
      </c>
      <c r="B189" s="1" t="s">
        <v>268</v>
      </c>
      <c r="C189" s="8">
        <v>101466</v>
      </c>
      <c r="D189" s="9" t="s">
        <v>162</v>
      </c>
      <c r="E189" s="4" t="s">
        <v>8</v>
      </c>
      <c r="F189" s="4">
        <v>6362</v>
      </c>
      <c r="K189" s="4">
        <v>1</v>
      </c>
      <c r="M189" s="1"/>
    </row>
    <row r="190" spans="1:13" ht="14.4" customHeight="1" x14ac:dyDescent="0.3">
      <c r="A190" s="1" t="s">
        <v>30</v>
      </c>
      <c r="B190" s="1" t="s">
        <v>269</v>
      </c>
      <c r="C190" s="8">
        <v>100455</v>
      </c>
      <c r="D190" s="9" t="s">
        <v>162</v>
      </c>
      <c r="E190" s="4" t="s">
        <v>8</v>
      </c>
      <c r="F190" s="4">
        <v>6362</v>
      </c>
      <c r="K190" s="4">
        <v>1</v>
      </c>
      <c r="M190" s="1"/>
    </row>
    <row r="191" spans="1:13" ht="14.4" customHeight="1" x14ac:dyDescent="0.3">
      <c r="A191" s="1" t="s">
        <v>97</v>
      </c>
      <c r="B191" s="1" t="s">
        <v>270</v>
      </c>
      <c r="C191" s="8">
        <v>100446</v>
      </c>
      <c r="D191" s="9" t="s">
        <v>162</v>
      </c>
      <c r="E191" s="4" t="s">
        <v>8</v>
      </c>
      <c r="F191" s="4">
        <v>6362</v>
      </c>
      <c r="K191" s="4">
        <v>1</v>
      </c>
      <c r="M191" s="1"/>
    </row>
    <row r="192" spans="1:13" ht="14.4" customHeight="1" x14ac:dyDescent="0.3">
      <c r="A192" s="1" t="s">
        <v>88</v>
      </c>
      <c r="B192" s="1" t="s">
        <v>271</v>
      </c>
      <c r="C192" s="8">
        <v>100335</v>
      </c>
      <c r="D192" s="9" t="s">
        <v>162</v>
      </c>
      <c r="E192" s="4" t="s">
        <v>8</v>
      </c>
      <c r="F192" s="4">
        <v>6362</v>
      </c>
      <c r="K192" s="4">
        <v>1</v>
      </c>
      <c r="M192" s="1"/>
    </row>
    <row r="193" spans="1:13" ht="14.4" customHeight="1" x14ac:dyDescent="0.3">
      <c r="A193" s="1" t="s">
        <v>24</v>
      </c>
      <c r="B193" s="1" t="s">
        <v>272</v>
      </c>
      <c r="C193" s="8">
        <v>100039</v>
      </c>
      <c r="D193" s="9" t="s">
        <v>162</v>
      </c>
      <c r="E193" s="4" t="s">
        <v>8</v>
      </c>
      <c r="F193" s="4">
        <v>6362</v>
      </c>
      <c r="K193" s="4">
        <v>1</v>
      </c>
      <c r="M193" s="1"/>
    </row>
    <row r="194" spans="1:13" ht="14.4" customHeight="1" x14ac:dyDescent="0.3">
      <c r="A194" s="1" t="s">
        <v>51</v>
      </c>
      <c r="B194" s="1" t="s">
        <v>273</v>
      </c>
      <c r="C194" s="4">
        <v>98932</v>
      </c>
      <c r="D194" s="4" t="s">
        <v>274</v>
      </c>
      <c r="E194" s="4" t="s">
        <v>9</v>
      </c>
      <c r="F194" s="4">
        <v>4936</v>
      </c>
      <c r="L194" s="4">
        <v>1</v>
      </c>
      <c r="M194" s="1"/>
    </row>
    <row r="195" spans="1:13" ht="14.4" customHeight="1" x14ac:dyDescent="0.3">
      <c r="A195" s="1" t="s">
        <v>54</v>
      </c>
      <c r="B195" s="1" t="s">
        <v>275</v>
      </c>
      <c r="C195" s="4">
        <v>97244</v>
      </c>
      <c r="D195" s="4" t="s">
        <v>274</v>
      </c>
      <c r="E195" s="4" t="s">
        <v>9</v>
      </c>
      <c r="F195" s="4">
        <v>4936</v>
      </c>
      <c r="L195" s="4">
        <v>1</v>
      </c>
      <c r="M195" s="1"/>
    </row>
    <row r="196" spans="1:13" ht="14.4" customHeight="1" x14ac:dyDescent="0.3">
      <c r="A196" s="1" t="s">
        <v>74</v>
      </c>
      <c r="B196" s="1" t="s">
        <v>276</v>
      </c>
      <c r="C196" s="4">
        <v>96299</v>
      </c>
      <c r="D196" s="4" t="s">
        <v>274</v>
      </c>
      <c r="E196" s="4" t="s">
        <v>9</v>
      </c>
      <c r="F196" s="4">
        <v>4936</v>
      </c>
      <c r="L196" s="4">
        <v>1</v>
      </c>
      <c r="M196" s="1"/>
    </row>
    <row r="197" spans="1:13" ht="14.4" customHeight="1" x14ac:dyDescent="0.3">
      <c r="A197" s="1" t="s">
        <v>26</v>
      </c>
      <c r="B197" s="1" t="s">
        <v>277</v>
      </c>
      <c r="C197" s="4">
        <v>96052</v>
      </c>
      <c r="D197" s="4" t="s">
        <v>274</v>
      </c>
      <c r="E197" s="4" t="s">
        <v>9</v>
      </c>
      <c r="F197" s="4">
        <v>4936</v>
      </c>
      <c r="L197" s="4">
        <v>1</v>
      </c>
      <c r="M197" s="1"/>
    </row>
    <row r="198" spans="1:13" ht="14.4" customHeight="1" x14ac:dyDescent="0.3">
      <c r="A198" s="1" t="s">
        <v>22</v>
      </c>
      <c r="B198" s="1" t="s">
        <v>278</v>
      </c>
      <c r="C198" s="4">
        <v>95861</v>
      </c>
      <c r="D198" s="4" t="s">
        <v>274</v>
      </c>
      <c r="E198" s="4" t="s">
        <v>9</v>
      </c>
      <c r="F198" s="4">
        <v>4936</v>
      </c>
      <c r="L198" s="4">
        <v>1</v>
      </c>
      <c r="M198" s="1"/>
    </row>
    <row r="199" spans="1:13" ht="14.4" customHeight="1" x14ac:dyDescent="0.3">
      <c r="A199" s="1" t="s">
        <v>99</v>
      </c>
      <c r="B199" s="1" t="s">
        <v>279</v>
      </c>
      <c r="C199" s="4">
        <v>95721</v>
      </c>
      <c r="D199" s="4" t="s">
        <v>274</v>
      </c>
      <c r="E199" s="4" t="s">
        <v>9</v>
      </c>
      <c r="F199" s="4">
        <v>4936</v>
      </c>
      <c r="L199" s="4">
        <v>1</v>
      </c>
      <c r="M199" s="1"/>
    </row>
    <row r="200" spans="1:13" ht="14.4" customHeight="1" x14ac:dyDescent="0.3">
      <c r="A200" s="1" t="s">
        <v>54</v>
      </c>
      <c r="B200" s="1" t="s">
        <v>280</v>
      </c>
      <c r="C200" s="4">
        <v>95355</v>
      </c>
      <c r="D200" s="4" t="s">
        <v>274</v>
      </c>
      <c r="E200" s="4" t="s">
        <v>9</v>
      </c>
      <c r="F200" s="4">
        <v>4936</v>
      </c>
      <c r="L200" s="4">
        <v>1</v>
      </c>
      <c r="M200" s="1"/>
    </row>
    <row r="201" spans="1:13" ht="14.4" customHeight="1" x14ac:dyDescent="0.3">
      <c r="A201" s="1" t="s">
        <v>74</v>
      </c>
      <c r="B201" s="1" t="s">
        <v>281</v>
      </c>
      <c r="C201" s="4">
        <v>94398</v>
      </c>
      <c r="D201" s="4" t="s">
        <v>274</v>
      </c>
      <c r="E201" s="4" t="s">
        <v>9</v>
      </c>
      <c r="F201" s="4">
        <v>4936</v>
      </c>
      <c r="L201" s="4">
        <v>1</v>
      </c>
      <c r="M201" s="1"/>
    </row>
    <row r="202" spans="1:13" ht="14.4" customHeight="1" x14ac:dyDescent="0.3">
      <c r="A202" s="1" t="s">
        <v>164</v>
      </c>
      <c r="B202" s="1" t="s">
        <v>282</v>
      </c>
      <c r="C202" s="4">
        <v>93716</v>
      </c>
      <c r="D202" s="4" t="s">
        <v>274</v>
      </c>
      <c r="E202" s="4" t="s">
        <v>9</v>
      </c>
      <c r="F202" s="4">
        <v>4936</v>
      </c>
      <c r="L202" s="4">
        <v>1</v>
      </c>
      <c r="M202" s="1"/>
    </row>
    <row r="203" spans="1:13" ht="14.4" customHeight="1" x14ac:dyDescent="0.3">
      <c r="A203" s="1" t="s">
        <v>88</v>
      </c>
      <c r="B203" s="1" t="s">
        <v>283</v>
      </c>
      <c r="C203" s="4">
        <v>92911</v>
      </c>
      <c r="D203" s="4" t="s">
        <v>274</v>
      </c>
      <c r="E203" s="4" t="s">
        <v>9</v>
      </c>
      <c r="F203" s="4">
        <v>4936</v>
      </c>
      <c r="L203" s="4">
        <v>1</v>
      </c>
      <c r="M203" s="1"/>
    </row>
    <row r="204" spans="1:13" ht="14.4" customHeight="1" x14ac:dyDescent="0.3">
      <c r="A204" s="1" t="s">
        <v>42</v>
      </c>
      <c r="B204" s="1" t="s">
        <v>284</v>
      </c>
      <c r="C204" s="4">
        <v>92602</v>
      </c>
      <c r="D204" s="4" t="s">
        <v>274</v>
      </c>
      <c r="E204" s="4" t="s">
        <v>9</v>
      </c>
      <c r="F204" s="4">
        <v>4936</v>
      </c>
      <c r="L204" s="4">
        <v>1</v>
      </c>
      <c r="M204" s="1"/>
    </row>
    <row r="205" spans="1:13" ht="14.4" customHeight="1" x14ac:dyDescent="0.3">
      <c r="A205" s="1" t="s">
        <v>54</v>
      </c>
      <c r="B205" s="1" t="s">
        <v>285</v>
      </c>
      <c r="C205" s="4">
        <v>92334</v>
      </c>
      <c r="D205" s="4" t="s">
        <v>274</v>
      </c>
      <c r="E205" s="4" t="s">
        <v>9</v>
      </c>
      <c r="F205" s="4">
        <v>4936</v>
      </c>
      <c r="L205" s="4">
        <v>1</v>
      </c>
      <c r="M205" s="1"/>
    </row>
    <row r="206" spans="1:13" ht="14.4" customHeight="1" x14ac:dyDescent="0.3">
      <c r="A206" s="1" t="s">
        <v>286</v>
      </c>
      <c r="B206" s="1" t="s">
        <v>287</v>
      </c>
      <c r="C206" s="4">
        <v>91781</v>
      </c>
      <c r="D206" s="4" t="s">
        <v>274</v>
      </c>
      <c r="E206" s="4" t="s">
        <v>9</v>
      </c>
      <c r="F206" s="4">
        <v>4936</v>
      </c>
      <c r="L206" s="4">
        <v>1</v>
      </c>
      <c r="M206" s="1"/>
    </row>
    <row r="207" spans="1:13" ht="14.4" customHeight="1" x14ac:dyDescent="0.3">
      <c r="A207" s="1" t="s">
        <v>17</v>
      </c>
      <c r="B207" s="1" t="s">
        <v>288</v>
      </c>
      <c r="C207" s="4">
        <v>91685</v>
      </c>
      <c r="D207" s="4" t="s">
        <v>274</v>
      </c>
      <c r="E207" s="4" t="s">
        <v>9</v>
      </c>
      <c r="F207" s="4">
        <v>4936</v>
      </c>
      <c r="L207" s="4">
        <v>1</v>
      </c>
      <c r="M207" s="1"/>
    </row>
    <row r="208" spans="1:13" ht="14.4" customHeight="1" x14ac:dyDescent="0.3">
      <c r="A208" s="1" t="s">
        <v>147</v>
      </c>
      <c r="B208" s="1" t="s">
        <v>289</v>
      </c>
      <c r="C208" s="4">
        <v>91623</v>
      </c>
      <c r="D208" s="4" t="s">
        <v>274</v>
      </c>
      <c r="E208" s="4" t="s">
        <v>9</v>
      </c>
      <c r="F208" s="4">
        <v>4936</v>
      </c>
      <c r="L208" s="4">
        <v>1</v>
      </c>
      <c r="M208" s="1"/>
    </row>
    <row r="209" spans="1:13" ht="14.4" customHeight="1" x14ac:dyDescent="0.3">
      <c r="A209" s="1" t="s">
        <v>182</v>
      </c>
      <c r="B209" s="1" t="s">
        <v>290</v>
      </c>
      <c r="C209" s="4">
        <v>90549</v>
      </c>
      <c r="D209" s="4" t="s">
        <v>274</v>
      </c>
      <c r="E209" s="4" t="s">
        <v>9</v>
      </c>
      <c r="F209" s="4">
        <v>4936</v>
      </c>
      <c r="L209" s="4">
        <v>1</v>
      </c>
      <c r="M209" s="1"/>
    </row>
    <row r="210" spans="1:13" ht="14.4" customHeight="1" x14ac:dyDescent="0.3">
      <c r="A210" s="1" t="s">
        <v>88</v>
      </c>
      <c r="B210" s="1" t="s">
        <v>291</v>
      </c>
      <c r="C210" s="4">
        <v>89278</v>
      </c>
      <c r="D210" s="4" t="s">
        <v>274</v>
      </c>
      <c r="E210" s="4" t="s">
        <v>9</v>
      </c>
      <c r="F210" s="4">
        <v>4936</v>
      </c>
      <c r="L210" s="4">
        <v>1</v>
      </c>
      <c r="M210" s="1"/>
    </row>
    <row r="211" spans="1:13" ht="14.4" customHeight="1" x14ac:dyDescent="0.3">
      <c r="A211" s="1" t="s">
        <v>38</v>
      </c>
      <c r="B211" s="1" t="s">
        <v>292</v>
      </c>
      <c r="C211" s="4">
        <v>89111</v>
      </c>
      <c r="D211" s="4" t="s">
        <v>274</v>
      </c>
      <c r="E211" s="4" t="s">
        <v>9</v>
      </c>
      <c r="F211" s="4">
        <v>4936</v>
      </c>
      <c r="L211" s="4">
        <v>1</v>
      </c>
      <c r="M211" s="1"/>
    </row>
    <row r="212" spans="1:13" ht="14.4" customHeight="1" x14ac:dyDescent="0.3">
      <c r="A212" s="1" t="s">
        <v>34</v>
      </c>
      <c r="B212" s="1" t="s">
        <v>293</v>
      </c>
      <c r="C212" s="4">
        <v>88319</v>
      </c>
      <c r="D212" s="4" t="s">
        <v>274</v>
      </c>
      <c r="E212" s="4" t="s">
        <v>9</v>
      </c>
      <c r="F212" s="4">
        <v>4936</v>
      </c>
      <c r="L212" s="4">
        <v>1</v>
      </c>
      <c r="M212" s="1"/>
    </row>
    <row r="213" spans="1:13" ht="14.4" customHeight="1" x14ac:dyDescent="0.3">
      <c r="A213" s="1" t="s">
        <v>74</v>
      </c>
      <c r="B213" s="1" t="s">
        <v>294</v>
      </c>
      <c r="C213" s="4">
        <v>88192</v>
      </c>
      <c r="D213" s="4" t="s">
        <v>274</v>
      </c>
      <c r="E213" s="4" t="s">
        <v>9</v>
      </c>
      <c r="F213" s="4">
        <v>4936</v>
      </c>
      <c r="L213" s="4">
        <v>1</v>
      </c>
      <c r="M213" s="1"/>
    </row>
    <row r="214" spans="1:13" ht="14.4" customHeight="1" x14ac:dyDescent="0.3">
      <c r="A214" s="1" t="s">
        <v>113</v>
      </c>
      <c r="B214" s="1" t="s">
        <v>295</v>
      </c>
      <c r="C214" s="4">
        <v>86422</v>
      </c>
      <c r="D214" s="4" t="s">
        <v>274</v>
      </c>
      <c r="E214" s="4" t="s">
        <v>9</v>
      </c>
      <c r="F214" s="4">
        <v>4936</v>
      </c>
      <c r="L214" s="4">
        <v>1</v>
      </c>
      <c r="M214" s="1"/>
    </row>
    <row r="215" spans="1:13" ht="14.4" customHeight="1" x14ac:dyDescent="0.3">
      <c r="A215" s="1" t="s">
        <v>72</v>
      </c>
      <c r="B215" s="1" t="s">
        <v>296</v>
      </c>
      <c r="C215" s="4">
        <v>86050</v>
      </c>
      <c r="D215" s="4" t="s">
        <v>274</v>
      </c>
      <c r="E215" s="4" t="s">
        <v>9</v>
      </c>
      <c r="F215" s="4">
        <v>4936</v>
      </c>
      <c r="L215" s="4">
        <v>1</v>
      </c>
      <c r="M215" s="1"/>
    </row>
    <row r="216" spans="1:13" ht="14.4" customHeight="1" x14ac:dyDescent="0.3">
      <c r="A216" s="1" t="s">
        <v>72</v>
      </c>
      <c r="B216" s="1" t="s">
        <v>297</v>
      </c>
      <c r="C216" s="4">
        <v>84897</v>
      </c>
      <c r="D216" s="4" t="s">
        <v>274</v>
      </c>
      <c r="E216" s="4" t="s">
        <v>9</v>
      </c>
      <c r="F216" s="4">
        <v>4936</v>
      </c>
      <c r="L216" s="4">
        <v>1</v>
      </c>
      <c r="M216" s="1"/>
    </row>
    <row r="217" spans="1:13" ht="14.4" customHeight="1" x14ac:dyDescent="0.3">
      <c r="A217" s="1" t="s">
        <v>24</v>
      </c>
      <c r="B217" s="1" t="s">
        <v>298</v>
      </c>
      <c r="C217" s="4">
        <v>83536</v>
      </c>
      <c r="D217" s="4" t="s">
        <v>274</v>
      </c>
      <c r="E217" s="4" t="s">
        <v>9</v>
      </c>
      <c r="F217" s="4">
        <v>4936</v>
      </c>
      <c r="L217" s="4">
        <v>1</v>
      </c>
      <c r="M217" s="1"/>
    </row>
    <row r="218" spans="1:13" ht="14.4" customHeight="1" x14ac:dyDescent="0.3">
      <c r="A218" s="1" t="s">
        <v>38</v>
      </c>
      <c r="B218" s="1" t="s">
        <v>270</v>
      </c>
      <c r="C218" s="4">
        <v>83386</v>
      </c>
      <c r="D218" s="4" t="s">
        <v>274</v>
      </c>
      <c r="E218" s="4" t="s">
        <v>9</v>
      </c>
      <c r="F218" s="4">
        <v>4936</v>
      </c>
      <c r="L218" s="4">
        <v>1</v>
      </c>
      <c r="M218" s="1"/>
    </row>
    <row r="219" spans="1:13" ht="14.4" customHeight="1" x14ac:dyDescent="0.3">
      <c r="A219" s="1" t="s">
        <v>46</v>
      </c>
      <c r="B219" s="1" t="s">
        <v>299</v>
      </c>
      <c r="C219" s="4">
        <v>83053</v>
      </c>
      <c r="D219" s="4" t="s">
        <v>274</v>
      </c>
      <c r="E219" s="4" t="s">
        <v>9</v>
      </c>
      <c r="F219" s="4">
        <v>4936</v>
      </c>
      <c r="L219" s="4">
        <v>1</v>
      </c>
      <c r="M219" s="1"/>
    </row>
    <row r="220" spans="1:13" ht="14.4" customHeight="1" x14ac:dyDescent="0.3">
      <c r="A220" s="1" t="s">
        <v>42</v>
      </c>
      <c r="B220" s="1" t="s">
        <v>300</v>
      </c>
      <c r="C220" s="4">
        <v>82656</v>
      </c>
      <c r="D220" s="4" t="s">
        <v>274</v>
      </c>
      <c r="E220" s="4" t="s">
        <v>9</v>
      </c>
      <c r="F220" s="4">
        <v>4936</v>
      </c>
      <c r="L220" s="4">
        <v>1</v>
      </c>
      <c r="M220" s="1"/>
    </row>
    <row r="221" spans="1:13" ht="14.4" customHeight="1" x14ac:dyDescent="0.3">
      <c r="A221" s="1" t="s">
        <v>109</v>
      </c>
      <c r="B221" s="1" t="s">
        <v>301</v>
      </c>
      <c r="C221" s="4">
        <v>81986</v>
      </c>
      <c r="D221" s="4" t="s">
        <v>274</v>
      </c>
      <c r="E221" s="4" t="s">
        <v>9</v>
      </c>
      <c r="F221" s="4">
        <v>4936</v>
      </c>
      <c r="L221" s="4">
        <v>1</v>
      </c>
      <c r="M221" s="1"/>
    </row>
    <row r="222" spans="1:13" ht="14.4" customHeight="1" x14ac:dyDescent="0.3">
      <c r="A222" s="1" t="s">
        <v>46</v>
      </c>
      <c r="B222" s="1" t="s">
        <v>302</v>
      </c>
      <c r="C222" s="4">
        <v>81447</v>
      </c>
      <c r="D222" s="4" t="s">
        <v>274</v>
      </c>
      <c r="E222" s="4" t="s">
        <v>9</v>
      </c>
      <c r="F222" s="4">
        <v>4936</v>
      </c>
      <c r="L222" s="4">
        <v>1</v>
      </c>
      <c r="M222" s="1"/>
    </row>
    <row r="223" spans="1:13" ht="14.4" customHeight="1" x14ac:dyDescent="0.3">
      <c r="A223" s="1" t="s">
        <v>60</v>
      </c>
      <c r="B223" s="1" t="s">
        <v>303</v>
      </c>
      <c r="C223" s="4">
        <v>81081</v>
      </c>
      <c r="D223" s="4" t="s">
        <v>274</v>
      </c>
      <c r="E223" s="4" t="s">
        <v>9</v>
      </c>
      <c r="F223" s="4">
        <v>4936</v>
      </c>
      <c r="L223" s="4">
        <v>1</v>
      </c>
      <c r="M223" s="1"/>
    </row>
    <row r="224" spans="1:13" ht="14.4" customHeight="1" x14ac:dyDescent="0.3">
      <c r="A224" s="1" t="s">
        <v>74</v>
      </c>
      <c r="B224" s="1" t="s">
        <v>304</v>
      </c>
      <c r="C224" s="4">
        <v>81073</v>
      </c>
      <c r="D224" s="4" t="s">
        <v>274</v>
      </c>
      <c r="E224" s="4" t="s">
        <v>9</v>
      </c>
      <c r="F224" s="4">
        <v>4936</v>
      </c>
      <c r="L224" s="4">
        <v>1</v>
      </c>
      <c r="M224" s="1"/>
    </row>
    <row r="225" spans="1:13" ht="14.4" customHeight="1" x14ac:dyDescent="0.3">
      <c r="A225" s="1" t="s">
        <v>82</v>
      </c>
      <c r="B225" s="1" t="s">
        <v>305</v>
      </c>
      <c r="C225" s="4">
        <v>81027</v>
      </c>
      <c r="D225" s="4" t="s">
        <v>274</v>
      </c>
      <c r="E225" s="4" t="s">
        <v>9</v>
      </c>
      <c r="F225" s="4">
        <v>4936</v>
      </c>
      <c r="L225" s="4">
        <v>1</v>
      </c>
      <c r="M225" s="1"/>
    </row>
    <row r="226" spans="1:13" ht="14.4" customHeight="1" x14ac:dyDescent="0.3">
      <c r="A226" s="1" t="s">
        <v>306</v>
      </c>
      <c r="B226" s="1" t="s">
        <v>307</v>
      </c>
      <c r="C226" s="4">
        <v>80723</v>
      </c>
      <c r="D226" s="4" t="s">
        <v>274</v>
      </c>
      <c r="E226" s="4" t="s">
        <v>9</v>
      </c>
      <c r="F226" s="4">
        <v>4936</v>
      </c>
      <c r="L226" s="4">
        <v>1</v>
      </c>
      <c r="M226" s="1"/>
    </row>
    <row r="227" spans="1:13" ht="14.4" customHeight="1" x14ac:dyDescent="0.3">
      <c r="A227" s="1" t="s">
        <v>34</v>
      </c>
      <c r="B227" s="1" t="s">
        <v>308</v>
      </c>
      <c r="C227" s="4">
        <v>80286</v>
      </c>
      <c r="D227" s="4" t="s">
        <v>274</v>
      </c>
      <c r="E227" s="4" t="s">
        <v>9</v>
      </c>
      <c r="F227" s="4">
        <v>4936</v>
      </c>
      <c r="L227" s="4">
        <v>1</v>
      </c>
      <c r="M227" s="1"/>
    </row>
    <row r="228" spans="1:13" ht="14.4" customHeight="1" x14ac:dyDescent="0.3">
      <c r="A228" s="1" t="s">
        <v>88</v>
      </c>
      <c r="B228" s="1" t="s">
        <v>309</v>
      </c>
      <c r="C228" s="4">
        <v>79387</v>
      </c>
      <c r="D228" s="4" t="s">
        <v>274</v>
      </c>
      <c r="E228" s="4" t="s">
        <v>9</v>
      </c>
      <c r="F228" s="4">
        <v>4936</v>
      </c>
      <c r="L228" s="4">
        <v>1</v>
      </c>
      <c r="M228" s="1"/>
    </row>
    <row r="229" spans="1:13" ht="14.4" customHeight="1" x14ac:dyDescent="0.3">
      <c r="A229" s="1" t="s">
        <v>124</v>
      </c>
      <c r="B229" s="1" t="s">
        <v>310</v>
      </c>
      <c r="C229" s="4">
        <v>79272</v>
      </c>
      <c r="D229" s="4" t="s">
        <v>274</v>
      </c>
      <c r="E229" s="4" t="s">
        <v>9</v>
      </c>
      <c r="F229" s="4">
        <v>4936</v>
      </c>
      <c r="L229" s="4">
        <v>1</v>
      </c>
      <c r="M229" s="1"/>
    </row>
    <row r="230" spans="1:13" ht="14.4" customHeight="1" x14ac:dyDescent="0.3">
      <c r="A230" s="1" t="s">
        <v>88</v>
      </c>
      <c r="B230" s="1" t="s">
        <v>311</v>
      </c>
      <c r="C230" s="4">
        <v>79099</v>
      </c>
      <c r="D230" s="4" t="s">
        <v>274</v>
      </c>
      <c r="E230" s="4" t="s">
        <v>9</v>
      </c>
      <c r="F230" s="4">
        <v>4936</v>
      </c>
      <c r="L230" s="4">
        <v>1</v>
      </c>
      <c r="M230" s="1"/>
    </row>
    <row r="231" spans="1:13" ht="14.4" customHeight="1" x14ac:dyDescent="0.3">
      <c r="A231" s="1" t="s">
        <v>28</v>
      </c>
      <c r="B231" s="1" t="s">
        <v>312</v>
      </c>
      <c r="C231" s="4">
        <v>78811</v>
      </c>
      <c r="D231" s="4" t="s">
        <v>274</v>
      </c>
      <c r="E231" s="4" t="s">
        <v>9</v>
      </c>
      <c r="F231" s="4">
        <v>4936</v>
      </c>
      <c r="L231" s="4">
        <v>1</v>
      </c>
      <c r="M231" s="1"/>
    </row>
    <row r="232" spans="1:13" ht="14.4" customHeight="1" x14ac:dyDescent="0.3">
      <c r="A232" s="1" t="s">
        <v>46</v>
      </c>
      <c r="B232" s="1" t="s">
        <v>313</v>
      </c>
      <c r="C232" s="4">
        <v>78149</v>
      </c>
      <c r="D232" s="4" t="s">
        <v>274</v>
      </c>
      <c r="E232" s="4" t="s">
        <v>9</v>
      </c>
      <c r="F232" s="4">
        <v>4936</v>
      </c>
      <c r="L232" s="4">
        <v>1</v>
      </c>
      <c r="M232" s="1"/>
    </row>
    <row r="233" spans="1:13" ht="14.4" customHeight="1" x14ac:dyDescent="0.3">
      <c r="A233" s="1" t="s">
        <v>26</v>
      </c>
      <c r="B233" s="1" t="s">
        <v>314</v>
      </c>
      <c r="C233" s="4">
        <v>77454</v>
      </c>
      <c r="D233" s="4" t="s">
        <v>274</v>
      </c>
      <c r="E233" s="4" t="s">
        <v>9</v>
      </c>
      <c r="F233" s="4">
        <v>4936</v>
      </c>
      <c r="L233" s="4">
        <v>1</v>
      </c>
      <c r="M233" s="1"/>
    </row>
    <row r="234" spans="1:13" ht="14.4" customHeight="1" x14ac:dyDescent="0.3">
      <c r="A234" s="1" t="s">
        <v>46</v>
      </c>
      <c r="B234" s="1" t="s">
        <v>315</v>
      </c>
      <c r="C234" s="4">
        <v>77212</v>
      </c>
      <c r="D234" s="4" t="s">
        <v>274</v>
      </c>
      <c r="E234" s="4" t="s">
        <v>9</v>
      </c>
      <c r="F234" s="4">
        <v>4936</v>
      </c>
      <c r="L234" s="4">
        <v>1</v>
      </c>
      <c r="M234" s="1"/>
    </row>
    <row r="235" spans="1:13" ht="14.4" customHeight="1" x14ac:dyDescent="0.3">
      <c r="A235" s="1" t="s">
        <v>60</v>
      </c>
      <c r="B235" s="1" t="s">
        <v>316</v>
      </c>
      <c r="C235" s="4">
        <v>76846</v>
      </c>
      <c r="D235" s="4" t="s">
        <v>274</v>
      </c>
      <c r="E235" s="4" t="s">
        <v>9</v>
      </c>
      <c r="F235" s="4">
        <v>4936</v>
      </c>
      <c r="L235" s="4">
        <v>1</v>
      </c>
      <c r="M235" s="1"/>
    </row>
    <row r="236" spans="1:13" ht="14.4" customHeight="1" x14ac:dyDescent="0.3">
      <c r="A236" s="1" t="s">
        <v>17</v>
      </c>
      <c r="B236" s="1" t="s">
        <v>317</v>
      </c>
      <c r="C236" s="4">
        <v>76389</v>
      </c>
      <c r="D236" s="4" t="s">
        <v>274</v>
      </c>
      <c r="E236" s="4" t="s">
        <v>9</v>
      </c>
      <c r="F236" s="4">
        <v>4936</v>
      </c>
      <c r="L236" s="4">
        <v>1</v>
      </c>
      <c r="M236" s="1"/>
    </row>
    <row r="237" spans="1:13" ht="14.4" customHeight="1" x14ac:dyDescent="0.3">
      <c r="A237" s="1" t="s">
        <v>49</v>
      </c>
      <c r="B237" s="1" t="s">
        <v>318</v>
      </c>
      <c r="C237" s="4">
        <v>76032</v>
      </c>
      <c r="D237" s="4" t="s">
        <v>274</v>
      </c>
      <c r="E237" s="4" t="s">
        <v>9</v>
      </c>
      <c r="F237" s="4">
        <v>4936</v>
      </c>
      <c r="L237" s="4">
        <v>1</v>
      </c>
      <c r="M237" s="1"/>
    </row>
    <row r="238" spans="1:13" ht="14.4" customHeight="1" x14ac:dyDescent="0.3">
      <c r="A238" s="1" t="s">
        <v>191</v>
      </c>
      <c r="B238" s="1" t="s">
        <v>319</v>
      </c>
      <c r="C238" s="4">
        <v>75042</v>
      </c>
      <c r="D238" s="4" t="s">
        <v>274</v>
      </c>
      <c r="E238" s="4" t="s">
        <v>9</v>
      </c>
      <c r="F238" s="4">
        <v>4936</v>
      </c>
      <c r="L238" s="4">
        <v>1</v>
      </c>
      <c r="M238" s="1"/>
    </row>
    <row r="239" spans="1:13" ht="14.4" customHeight="1" x14ac:dyDescent="0.3">
      <c r="A239" s="1" t="s">
        <v>137</v>
      </c>
      <c r="B239" s="1" t="s">
        <v>320</v>
      </c>
      <c r="C239" s="4">
        <v>74929</v>
      </c>
      <c r="D239" s="4" t="s">
        <v>274</v>
      </c>
      <c r="E239" s="4" t="s">
        <v>9</v>
      </c>
      <c r="F239" s="4">
        <v>4936</v>
      </c>
      <c r="L239" s="4">
        <v>1</v>
      </c>
      <c r="M239" s="1"/>
    </row>
    <row r="240" spans="1:13" ht="14.4" customHeight="1" x14ac:dyDescent="0.3">
      <c r="A240" s="1" t="s">
        <v>88</v>
      </c>
      <c r="B240" s="1" t="s">
        <v>321</v>
      </c>
      <c r="C240" s="4">
        <v>74851</v>
      </c>
      <c r="D240" s="4" t="s">
        <v>274</v>
      </c>
      <c r="E240" s="4" t="s">
        <v>9</v>
      </c>
      <c r="F240" s="4">
        <v>4936</v>
      </c>
      <c r="L240" s="4">
        <v>1</v>
      </c>
      <c r="M240" s="1"/>
    </row>
    <row r="241" spans="1:13" ht="14.4" customHeight="1" x14ac:dyDescent="0.3">
      <c r="A241" s="1" t="s">
        <v>17</v>
      </c>
      <c r="B241" s="1" t="s">
        <v>322</v>
      </c>
      <c r="C241" s="4">
        <v>74263</v>
      </c>
      <c r="D241" s="4" t="s">
        <v>274</v>
      </c>
      <c r="E241" s="4" t="s">
        <v>9</v>
      </c>
      <c r="F241" s="4">
        <v>4936</v>
      </c>
      <c r="L241" s="4">
        <v>1</v>
      </c>
      <c r="M241" s="1"/>
    </row>
    <row r="242" spans="1:13" ht="14.4" customHeight="1" x14ac:dyDescent="0.3">
      <c r="A242" s="1" t="s">
        <v>99</v>
      </c>
      <c r="B242" s="1" t="s">
        <v>323</v>
      </c>
      <c r="C242" s="4">
        <v>74141</v>
      </c>
      <c r="D242" s="4" t="s">
        <v>274</v>
      </c>
      <c r="E242" s="4" t="s">
        <v>9</v>
      </c>
      <c r="F242" s="4">
        <v>4936</v>
      </c>
      <c r="L242" s="4">
        <v>1</v>
      </c>
      <c r="M242" s="1"/>
    </row>
    <row r="243" spans="1:13" ht="14.4" customHeight="1" x14ac:dyDescent="0.3">
      <c r="A243" s="1" t="s">
        <v>24</v>
      </c>
      <c r="B243" s="1" t="s">
        <v>324</v>
      </c>
      <c r="C243" s="4">
        <v>73913</v>
      </c>
      <c r="D243" s="4" t="s">
        <v>274</v>
      </c>
      <c r="E243" s="4" t="s">
        <v>9</v>
      </c>
      <c r="F243" s="4">
        <v>4936</v>
      </c>
      <c r="L243" s="4">
        <v>1</v>
      </c>
      <c r="M243" s="1"/>
    </row>
    <row r="244" spans="1:13" x14ac:dyDescent="0.3">
      <c r="A244" s="1" t="s">
        <v>56</v>
      </c>
      <c r="B244" s="1" t="s">
        <v>325</v>
      </c>
      <c r="C244" s="4">
        <v>73769</v>
      </c>
      <c r="D244" s="4" t="s">
        <v>274</v>
      </c>
      <c r="E244" s="4" t="s">
        <v>9</v>
      </c>
      <c r="F244" s="4">
        <v>4936</v>
      </c>
      <c r="L244" s="4">
        <v>1</v>
      </c>
      <c r="M244" s="1"/>
    </row>
    <row r="245" spans="1:13" x14ac:dyDescent="0.3">
      <c r="A245" s="1" t="s">
        <v>28</v>
      </c>
      <c r="B245" s="1" t="s">
        <v>326</v>
      </c>
      <c r="C245" s="4">
        <v>73152</v>
      </c>
      <c r="D245" s="4" t="s">
        <v>274</v>
      </c>
      <c r="E245" s="4" t="s">
        <v>9</v>
      </c>
      <c r="F245" s="4">
        <v>4936</v>
      </c>
      <c r="L245" s="4">
        <v>1</v>
      </c>
      <c r="M245" s="1"/>
    </row>
    <row r="246" spans="1:13" x14ac:dyDescent="0.3">
      <c r="A246" s="1" t="s">
        <v>327</v>
      </c>
      <c r="B246" s="1" t="s">
        <v>328</v>
      </c>
      <c r="C246" s="4">
        <v>73129</v>
      </c>
      <c r="D246" s="4" t="s">
        <v>274</v>
      </c>
      <c r="E246" s="4" t="s">
        <v>9</v>
      </c>
      <c r="F246" s="4">
        <v>4936</v>
      </c>
      <c r="L246" s="4">
        <v>1</v>
      </c>
      <c r="M246" s="1"/>
    </row>
    <row r="247" spans="1:13" x14ac:dyDescent="0.3">
      <c r="A247" s="1" t="s">
        <v>30</v>
      </c>
      <c r="B247" s="1" t="s">
        <v>329</v>
      </c>
      <c r="C247" s="4">
        <v>72225</v>
      </c>
      <c r="D247" s="4" t="s">
        <v>274</v>
      </c>
      <c r="E247" s="4" t="s">
        <v>9</v>
      </c>
      <c r="F247" s="4">
        <v>4936</v>
      </c>
      <c r="L247" s="4">
        <v>1</v>
      </c>
      <c r="M247" s="1"/>
    </row>
    <row r="248" spans="1:13" x14ac:dyDescent="0.3">
      <c r="A248" s="1" t="s">
        <v>88</v>
      </c>
      <c r="B248" s="1" t="s">
        <v>330</v>
      </c>
      <c r="C248" s="4">
        <v>72070</v>
      </c>
      <c r="D248" s="4" t="s">
        <v>274</v>
      </c>
      <c r="E248" s="4" t="s">
        <v>9</v>
      </c>
      <c r="F248" s="4">
        <v>4936</v>
      </c>
      <c r="L248" s="4">
        <v>1</v>
      </c>
      <c r="M248" s="1"/>
    </row>
    <row r="249" spans="1:13" x14ac:dyDescent="0.3">
      <c r="A249" s="1" t="s">
        <v>88</v>
      </c>
      <c r="B249" s="1" t="s">
        <v>331</v>
      </c>
      <c r="C249" s="4">
        <v>71932</v>
      </c>
      <c r="D249" s="4" t="s">
        <v>274</v>
      </c>
      <c r="E249" s="4" t="s">
        <v>9</v>
      </c>
      <c r="F249" s="4">
        <v>4936</v>
      </c>
      <c r="L249" s="4">
        <v>1</v>
      </c>
      <c r="M249" s="1"/>
    </row>
    <row r="250" spans="1:13" x14ac:dyDescent="0.3">
      <c r="A250" s="1" t="s">
        <v>74</v>
      </c>
      <c r="B250" s="1" t="s">
        <v>332</v>
      </c>
      <c r="C250" s="4">
        <v>71812</v>
      </c>
      <c r="D250" s="4" t="s">
        <v>274</v>
      </c>
      <c r="E250" s="4" t="s">
        <v>9</v>
      </c>
      <c r="F250" s="4">
        <v>4936</v>
      </c>
      <c r="L250" s="4">
        <v>1</v>
      </c>
      <c r="M250" s="1"/>
    </row>
    <row r="251" spans="1:13" x14ac:dyDescent="0.3">
      <c r="A251" s="1" t="s">
        <v>88</v>
      </c>
      <c r="B251" s="1" t="s">
        <v>333</v>
      </c>
      <c r="C251" s="4">
        <v>71482</v>
      </c>
      <c r="D251" s="4" t="s">
        <v>274</v>
      </c>
      <c r="E251" s="4" t="s">
        <v>9</v>
      </c>
      <c r="F251" s="4">
        <v>4936</v>
      </c>
      <c r="L251" s="4">
        <v>1</v>
      </c>
      <c r="M251" s="1"/>
    </row>
    <row r="252" spans="1:13" x14ac:dyDescent="0.3">
      <c r="A252" s="1" t="s">
        <v>22</v>
      </c>
      <c r="B252" s="1" t="s">
        <v>334</v>
      </c>
      <c r="C252" s="4">
        <v>71241</v>
      </c>
      <c r="D252" s="4" t="s">
        <v>274</v>
      </c>
      <c r="E252" s="4" t="s">
        <v>9</v>
      </c>
      <c r="F252" s="4">
        <v>4936</v>
      </c>
      <c r="L252" s="4">
        <v>1</v>
      </c>
      <c r="M252" s="1"/>
    </row>
    <row r="253" spans="1:13" x14ac:dyDescent="0.3">
      <c r="A253" s="1" t="s">
        <v>84</v>
      </c>
      <c r="B253" s="1" t="s">
        <v>335</v>
      </c>
      <c r="C253" s="4">
        <v>70722</v>
      </c>
      <c r="D253" s="4" t="s">
        <v>274</v>
      </c>
      <c r="E253" s="4" t="s">
        <v>9</v>
      </c>
      <c r="F253" s="4">
        <v>4936</v>
      </c>
      <c r="L253" s="4">
        <v>1</v>
      </c>
      <c r="M253" s="1"/>
    </row>
    <row r="254" spans="1:13" x14ac:dyDescent="0.3">
      <c r="A254" s="1" t="s">
        <v>74</v>
      </c>
      <c r="B254" s="1" t="s">
        <v>336</v>
      </c>
      <c r="C254" s="4">
        <v>69253</v>
      </c>
      <c r="D254" s="4" t="s">
        <v>274</v>
      </c>
      <c r="E254" s="4" t="s">
        <v>9</v>
      </c>
      <c r="F254" s="4">
        <v>4936</v>
      </c>
      <c r="L254" s="4">
        <v>1</v>
      </c>
      <c r="M254" s="1"/>
    </row>
    <row r="255" spans="1:13" x14ac:dyDescent="0.3">
      <c r="A255" s="1" t="s">
        <v>88</v>
      </c>
      <c r="B255" s="1" t="s">
        <v>337</v>
      </c>
      <c r="C255" s="4">
        <v>68666</v>
      </c>
      <c r="D255" s="4" t="s">
        <v>274</v>
      </c>
      <c r="E255" s="4" t="s">
        <v>9</v>
      </c>
      <c r="F255" s="4">
        <v>4936</v>
      </c>
      <c r="L255" s="4">
        <v>1</v>
      </c>
      <c r="M255" s="1"/>
    </row>
    <row r="256" spans="1:13" x14ac:dyDescent="0.3">
      <c r="A256" s="1" t="s">
        <v>36</v>
      </c>
      <c r="B256" s="1" t="s">
        <v>338</v>
      </c>
      <c r="C256" s="4">
        <v>68587</v>
      </c>
      <c r="D256" s="4" t="s">
        <v>274</v>
      </c>
      <c r="E256" s="4" t="s">
        <v>9</v>
      </c>
      <c r="F256" s="4">
        <v>4936</v>
      </c>
      <c r="L256" s="4">
        <v>1</v>
      </c>
      <c r="M256" s="1"/>
    </row>
    <row r="257" spans="1:13" x14ac:dyDescent="0.3">
      <c r="A257" s="1" t="s">
        <v>17</v>
      </c>
      <c r="B257" s="1" t="s">
        <v>339</v>
      </c>
      <c r="C257" s="4">
        <v>68344</v>
      </c>
      <c r="D257" s="4" t="s">
        <v>274</v>
      </c>
      <c r="E257" s="4" t="s">
        <v>9</v>
      </c>
      <c r="F257" s="4">
        <v>4936</v>
      </c>
      <c r="L257" s="4">
        <v>1</v>
      </c>
      <c r="M257" s="1"/>
    </row>
    <row r="258" spans="1:13" x14ac:dyDescent="0.3">
      <c r="A258" s="1" t="s">
        <v>124</v>
      </c>
      <c r="B258" s="1" t="s">
        <v>340</v>
      </c>
      <c r="C258" s="4">
        <v>68029</v>
      </c>
      <c r="D258" s="4" t="s">
        <v>274</v>
      </c>
      <c r="E258" s="4" t="s">
        <v>9</v>
      </c>
      <c r="F258" s="4">
        <v>4936</v>
      </c>
      <c r="L258" s="4">
        <v>1</v>
      </c>
      <c r="M258" s="1"/>
    </row>
    <row r="259" spans="1:13" x14ac:dyDescent="0.3">
      <c r="A259" s="1" t="s">
        <v>38</v>
      </c>
      <c r="B259" s="1" t="s">
        <v>341</v>
      </c>
      <c r="C259" s="4">
        <v>68002</v>
      </c>
      <c r="D259" s="4" t="s">
        <v>274</v>
      </c>
      <c r="E259" s="4" t="s">
        <v>9</v>
      </c>
      <c r="F259" s="4">
        <v>4936</v>
      </c>
      <c r="L259" s="4">
        <v>1</v>
      </c>
      <c r="M259" s="1"/>
    </row>
    <row r="260" spans="1:13" x14ac:dyDescent="0.3">
      <c r="A260" s="1" t="s">
        <v>26</v>
      </c>
      <c r="B260" s="1" t="s">
        <v>342</v>
      </c>
      <c r="C260" s="4">
        <v>67439</v>
      </c>
      <c r="D260" s="4" t="s">
        <v>274</v>
      </c>
      <c r="E260" s="4" t="s">
        <v>9</v>
      </c>
      <c r="F260" s="4">
        <v>4936</v>
      </c>
      <c r="L260" s="4">
        <v>1</v>
      </c>
      <c r="M260" s="1"/>
    </row>
    <row r="261" spans="1:13" x14ac:dyDescent="0.3">
      <c r="A261" s="1" t="s">
        <v>99</v>
      </c>
      <c r="B261" s="1" t="s">
        <v>343</v>
      </c>
      <c r="C261" s="4">
        <v>67054</v>
      </c>
      <c r="D261" s="4" t="s">
        <v>274</v>
      </c>
      <c r="E261" s="4" t="s">
        <v>9</v>
      </c>
      <c r="F261" s="4">
        <v>4936</v>
      </c>
      <c r="L261" s="4">
        <v>1</v>
      </c>
      <c r="M261" s="1"/>
    </row>
    <row r="262" spans="1:13" x14ac:dyDescent="0.3">
      <c r="A262" s="1" t="s">
        <v>46</v>
      </c>
      <c r="B262" s="1" t="s">
        <v>344</v>
      </c>
      <c r="C262" s="4">
        <v>66829</v>
      </c>
      <c r="D262" s="4" t="s">
        <v>274</v>
      </c>
      <c r="E262" s="4" t="s">
        <v>9</v>
      </c>
      <c r="F262" s="4">
        <v>4936</v>
      </c>
      <c r="L262" s="4">
        <v>1</v>
      </c>
      <c r="M262" s="1"/>
    </row>
    <row r="263" spans="1:13" x14ac:dyDescent="0.3">
      <c r="A263" s="1" t="s">
        <v>115</v>
      </c>
      <c r="B263" s="1" t="s">
        <v>345</v>
      </c>
      <c r="C263" s="4">
        <v>66720</v>
      </c>
      <c r="D263" s="4" t="s">
        <v>274</v>
      </c>
      <c r="E263" s="4" t="s">
        <v>9</v>
      </c>
      <c r="F263" s="4">
        <v>4936</v>
      </c>
      <c r="L263" s="4">
        <v>1</v>
      </c>
      <c r="M263" s="1"/>
    </row>
    <row r="264" spans="1:13" x14ac:dyDescent="0.3">
      <c r="A264" s="1" t="s">
        <v>236</v>
      </c>
      <c r="B264" s="1" t="s">
        <v>346</v>
      </c>
      <c r="C264" s="4">
        <v>66047</v>
      </c>
      <c r="D264" s="4" t="s">
        <v>274</v>
      </c>
      <c r="E264" s="4" t="s">
        <v>9</v>
      </c>
      <c r="F264" s="4">
        <v>4936</v>
      </c>
      <c r="L264" s="4">
        <v>1</v>
      </c>
      <c r="M264" s="1"/>
    </row>
    <row r="265" spans="1:13" x14ac:dyDescent="0.3">
      <c r="A265" s="1" t="s">
        <v>88</v>
      </c>
      <c r="B265" s="1" t="s">
        <v>347</v>
      </c>
      <c r="C265" s="4">
        <v>65990</v>
      </c>
      <c r="D265" s="4" t="s">
        <v>274</v>
      </c>
      <c r="E265" s="4" t="s">
        <v>9</v>
      </c>
      <c r="F265" s="4">
        <v>4936</v>
      </c>
      <c r="L265" s="4">
        <v>1</v>
      </c>
      <c r="M265" s="1"/>
    </row>
    <row r="266" spans="1:13" x14ac:dyDescent="0.3">
      <c r="A266" s="1" t="s">
        <v>174</v>
      </c>
      <c r="B266" s="1" t="s">
        <v>348</v>
      </c>
      <c r="C266" s="4">
        <v>65809</v>
      </c>
      <c r="D266" s="4" t="s">
        <v>274</v>
      </c>
      <c r="E266" s="4" t="s">
        <v>9</v>
      </c>
      <c r="F266" s="4">
        <v>4936</v>
      </c>
      <c r="L266" s="4">
        <v>1</v>
      </c>
      <c r="M266" s="1"/>
    </row>
    <row r="267" spans="1:13" x14ac:dyDescent="0.3">
      <c r="A267" s="1" t="s">
        <v>68</v>
      </c>
      <c r="B267" s="1" t="s">
        <v>349</v>
      </c>
      <c r="C267" s="4">
        <v>65544</v>
      </c>
      <c r="D267" s="4" t="s">
        <v>274</v>
      </c>
      <c r="E267" s="4" t="s">
        <v>9</v>
      </c>
      <c r="F267" s="4">
        <v>4936</v>
      </c>
      <c r="L267" s="4">
        <v>1</v>
      </c>
      <c r="M267" s="1"/>
    </row>
    <row r="268" spans="1:13" x14ac:dyDescent="0.3">
      <c r="A268" s="1" t="s">
        <v>42</v>
      </c>
      <c r="B268" s="1" t="s">
        <v>350</v>
      </c>
      <c r="C268" s="4">
        <v>65284</v>
      </c>
      <c r="D268" s="4" t="s">
        <v>274</v>
      </c>
      <c r="E268" s="4" t="s">
        <v>9</v>
      </c>
      <c r="F268" s="4">
        <v>4936</v>
      </c>
      <c r="L268" s="4">
        <v>1</v>
      </c>
      <c r="M268" s="1"/>
    </row>
    <row r="269" spans="1:13" x14ac:dyDescent="0.3">
      <c r="A269" s="1" t="s">
        <v>36</v>
      </c>
      <c r="B269" s="1" t="s">
        <v>351</v>
      </c>
      <c r="C269" s="4">
        <v>65265</v>
      </c>
      <c r="D269" s="4" t="s">
        <v>274</v>
      </c>
      <c r="E269" s="4" t="s">
        <v>9</v>
      </c>
      <c r="F269" s="4">
        <v>4936</v>
      </c>
      <c r="L269" s="4">
        <v>1</v>
      </c>
      <c r="M269" s="1"/>
    </row>
    <row r="270" spans="1:13" x14ac:dyDescent="0.3">
      <c r="A270" s="1" t="s">
        <v>82</v>
      </c>
      <c r="B270" s="1" t="s">
        <v>352</v>
      </c>
      <c r="C270" s="4">
        <v>65194</v>
      </c>
      <c r="D270" s="4" t="s">
        <v>274</v>
      </c>
      <c r="E270" s="4" t="s">
        <v>9</v>
      </c>
      <c r="F270" s="4">
        <v>4936</v>
      </c>
      <c r="L270" s="4">
        <v>1</v>
      </c>
      <c r="M270" s="1"/>
    </row>
    <row r="271" spans="1:13" x14ac:dyDescent="0.3">
      <c r="A271" s="1" t="s">
        <v>17</v>
      </c>
      <c r="B271" s="1" t="s">
        <v>353</v>
      </c>
      <c r="C271" s="4">
        <v>64939</v>
      </c>
      <c r="D271" s="4" t="s">
        <v>274</v>
      </c>
      <c r="E271" s="4" t="s">
        <v>9</v>
      </c>
      <c r="F271" s="4">
        <v>4936</v>
      </c>
      <c r="L271" s="4">
        <v>1</v>
      </c>
      <c r="M271" s="1"/>
    </row>
    <row r="272" spans="1:13" x14ac:dyDescent="0.3">
      <c r="A272" s="1" t="s">
        <v>88</v>
      </c>
      <c r="B272" s="1" t="s">
        <v>354</v>
      </c>
      <c r="C272" s="4">
        <v>64902</v>
      </c>
      <c r="D272" s="4" t="s">
        <v>274</v>
      </c>
      <c r="E272" s="4" t="s">
        <v>9</v>
      </c>
      <c r="F272" s="4">
        <v>4936</v>
      </c>
      <c r="L272" s="4">
        <v>1</v>
      </c>
      <c r="M272" s="1"/>
    </row>
    <row r="273" spans="1:13" x14ac:dyDescent="0.3">
      <c r="A273" s="1" t="s">
        <v>51</v>
      </c>
      <c r="B273" s="1" t="s">
        <v>355</v>
      </c>
      <c r="C273" s="4">
        <v>64653</v>
      </c>
      <c r="D273" s="4" t="s">
        <v>274</v>
      </c>
      <c r="E273" s="4" t="s">
        <v>9</v>
      </c>
      <c r="F273" s="4">
        <v>4936</v>
      </c>
      <c r="L273" s="4">
        <v>1</v>
      </c>
      <c r="M273" s="1"/>
    </row>
    <row r="274" spans="1:13" x14ac:dyDescent="0.3">
      <c r="A274" s="1" t="s">
        <v>36</v>
      </c>
      <c r="B274" s="1" t="s">
        <v>356</v>
      </c>
      <c r="C274" s="4">
        <v>64307</v>
      </c>
      <c r="D274" s="4" t="s">
        <v>274</v>
      </c>
      <c r="E274" s="4" t="s">
        <v>9</v>
      </c>
      <c r="F274" s="4">
        <v>4936</v>
      </c>
      <c r="L274" s="4">
        <v>1</v>
      </c>
      <c r="M274" s="1"/>
    </row>
    <row r="275" spans="1:13" x14ac:dyDescent="0.3">
      <c r="A275" s="1" t="s">
        <v>88</v>
      </c>
      <c r="B275" s="1" t="s">
        <v>357</v>
      </c>
      <c r="C275" s="4">
        <v>63940</v>
      </c>
      <c r="D275" s="4" t="s">
        <v>274</v>
      </c>
      <c r="E275" s="4" t="s">
        <v>9</v>
      </c>
      <c r="F275" s="4">
        <v>4936</v>
      </c>
      <c r="L275" s="4">
        <v>1</v>
      </c>
      <c r="M275" s="1"/>
    </row>
    <row r="276" spans="1:13" x14ac:dyDescent="0.3">
      <c r="A276" s="1" t="s">
        <v>358</v>
      </c>
      <c r="B276" s="1" t="s">
        <v>359</v>
      </c>
      <c r="C276" s="4">
        <v>63845</v>
      </c>
      <c r="D276" s="4" t="s">
        <v>274</v>
      </c>
      <c r="E276" s="4" t="s">
        <v>9</v>
      </c>
      <c r="F276" s="4">
        <v>4936</v>
      </c>
      <c r="L276" s="4">
        <v>1</v>
      </c>
      <c r="M276" s="1"/>
    </row>
    <row r="277" spans="1:13" x14ac:dyDescent="0.3">
      <c r="A277" s="1" t="s">
        <v>34</v>
      </c>
      <c r="B277" s="1" t="s">
        <v>360</v>
      </c>
      <c r="C277" s="4">
        <v>63771</v>
      </c>
      <c r="D277" s="4" t="s">
        <v>274</v>
      </c>
      <c r="E277" s="4" t="s">
        <v>9</v>
      </c>
      <c r="F277" s="4">
        <v>4936</v>
      </c>
      <c r="L277" s="4">
        <v>1</v>
      </c>
      <c r="M277" s="1"/>
    </row>
    <row r="278" spans="1:13" x14ac:dyDescent="0.3">
      <c r="A278" s="1" t="s">
        <v>111</v>
      </c>
      <c r="B278" s="1" t="s">
        <v>361</v>
      </c>
      <c r="C278" s="4">
        <v>62992</v>
      </c>
      <c r="D278" s="4" t="s">
        <v>274</v>
      </c>
      <c r="E278" s="4" t="s">
        <v>9</v>
      </c>
      <c r="F278" s="4">
        <v>4936</v>
      </c>
      <c r="L278" s="4">
        <v>1</v>
      </c>
      <c r="M278" s="1"/>
    </row>
    <row r="279" spans="1:13" x14ac:dyDescent="0.3">
      <c r="A279" s="1" t="s">
        <v>22</v>
      </c>
      <c r="B279" s="1" t="s">
        <v>362</v>
      </c>
      <c r="C279" s="4">
        <v>62908</v>
      </c>
      <c r="D279" s="4" t="s">
        <v>274</v>
      </c>
      <c r="E279" s="4" t="s">
        <v>9</v>
      </c>
      <c r="F279" s="4">
        <v>4936</v>
      </c>
      <c r="L279" s="4">
        <v>1</v>
      </c>
      <c r="M279" s="1"/>
    </row>
    <row r="280" spans="1:13" x14ac:dyDescent="0.3">
      <c r="A280" s="1" t="s">
        <v>143</v>
      </c>
      <c r="B280" s="1" t="s">
        <v>363</v>
      </c>
      <c r="C280" s="4">
        <v>62702</v>
      </c>
      <c r="D280" s="4" t="s">
        <v>274</v>
      </c>
      <c r="E280" s="4" t="s">
        <v>9</v>
      </c>
      <c r="F280" s="4">
        <v>4936</v>
      </c>
      <c r="L280" s="4">
        <v>1</v>
      </c>
      <c r="M280" s="1"/>
    </row>
    <row r="281" spans="1:13" x14ac:dyDescent="0.3">
      <c r="A281" s="1" t="s">
        <v>40</v>
      </c>
      <c r="B281" s="1" t="s">
        <v>364</v>
      </c>
      <c r="C281" s="4">
        <v>62625</v>
      </c>
      <c r="D281" s="4" t="s">
        <v>274</v>
      </c>
      <c r="E281" s="4" t="s">
        <v>9</v>
      </c>
      <c r="F281" s="4">
        <v>4936</v>
      </c>
      <c r="L281" s="4">
        <v>1</v>
      </c>
      <c r="M281" s="1"/>
    </row>
    <row r="282" spans="1:13" x14ac:dyDescent="0.3">
      <c r="A282" s="1" t="s">
        <v>95</v>
      </c>
      <c r="B282" s="1" t="s">
        <v>365</v>
      </c>
      <c r="C282" s="4">
        <v>62621</v>
      </c>
      <c r="D282" s="4" t="s">
        <v>274</v>
      </c>
      <c r="E282" s="4" t="s">
        <v>9</v>
      </c>
      <c r="F282" s="4">
        <v>4936</v>
      </c>
      <c r="L282" s="4">
        <v>1</v>
      </c>
      <c r="M282" s="1"/>
    </row>
    <row r="283" spans="1:13" x14ac:dyDescent="0.3">
      <c r="A283" s="1" t="s">
        <v>122</v>
      </c>
      <c r="B283" s="1" t="s">
        <v>366</v>
      </c>
      <c r="C283" s="4">
        <v>61990</v>
      </c>
      <c r="D283" s="4" t="s">
        <v>274</v>
      </c>
      <c r="E283" s="4" t="s">
        <v>9</v>
      </c>
      <c r="F283" s="4">
        <v>4936</v>
      </c>
      <c r="L283" s="4">
        <v>1</v>
      </c>
      <c r="M283" s="1"/>
    </row>
    <row r="284" spans="1:13" x14ac:dyDescent="0.3">
      <c r="A284" s="1" t="s">
        <v>49</v>
      </c>
      <c r="B284" s="1" t="s">
        <v>367</v>
      </c>
      <c r="C284" s="4">
        <v>61943</v>
      </c>
      <c r="D284" s="4" t="s">
        <v>274</v>
      </c>
      <c r="E284" s="4" t="s">
        <v>9</v>
      </c>
      <c r="F284" s="4">
        <v>4936</v>
      </c>
      <c r="L284" s="4">
        <v>1</v>
      </c>
      <c r="M284" s="1"/>
    </row>
    <row r="285" spans="1:13" x14ac:dyDescent="0.3">
      <c r="A285" s="1" t="s">
        <v>24</v>
      </c>
      <c r="B285" s="1" t="s">
        <v>368</v>
      </c>
      <c r="C285" s="4">
        <v>61695</v>
      </c>
      <c r="D285" s="4" t="s">
        <v>274</v>
      </c>
      <c r="E285" s="4" t="s">
        <v>9</v>
      </c>
      <c r="F285" s="4">
        <v>4936</v>
      </c>
      <c r="L285" s="4">
        <v>1</v>
      </c>
      <c r="M285" s="1"/>
    </row>
    <row r="286" spans="1:13" x14ac:dyDescent="0.3">
      <c r="A286" s="1" t="s">
        <v>38</v>
      </c>
      <c r="B286" s="1" t="s">
        <v>369</v>
      </c>
      <c r="C286" s="4">
        <v>61633</v>
      </c>
      <c r="D286" s="4" t="s">
        <v>274</v>
      </c>
      <c r="E286" s="4" t="s">
        <v>9</v>
      </c>
      <c r="F286" s="4">
        <v>4936</v>
      </c>
      <c r="L286" s="4">
        <v>1</v>
      </c>
      <c r="M286" s="1"/>
    </row>
    <row r="287" spans="1:13" x14ac:dyDescent="0.3">
      <c r="A287" s="1" t="s">
        <v>22</v>
      </c>
      <c r="B287" s="1" t="s">
        <v>370</v>
      </c>
      <c r="C287" s="4">
        <v>61533</v>
      </c>
      <c r="D287" s="4" t="s">
        <v>274</v>
      </c>
      <c r="E287" s="4" t="s">
        <v>9</v>
      </c>
      <c r="F287" s="4">
        <v>4936</v>
      </c>
      <c r="L287" s="4">
        <v>1</v>
      </c>
      <c r="M287" s="1"/>
    </row>
    <row r="288" spans="1:13" x14ac:dyDescent="0.3">
      <c r="A288" s="1" t="s">
        <v>99</v>
      </c>
      <c r="B288" s="1" t="s">
        <v>371</v>
      </c>
      <c r="C288" s="4">
        <v>61329</v>
      </c>
      <c r="D288" s="4" t="s">
        <v>274</v>
      </c>
      <c r="E288" s="4" t="s">
        <v>9</v>
      </c>
      <c r="F288" s="4">
        <v>4936</v>
      </c>
      <c r="L288" s="4">
        <v>1</v>
      </c>
      <c r="M288" s="1"/>
    </row>
    <row r="289" spans="1:13" x14ac:dyDescent="0.3">
      <c r="A289" s="1" t="s">
        <v>46</v>
      </c>
      <c r="B289" s="1" t="s">
        <v>372</v>
      </c>
      <c r="C289" s="4">
        <v>61180</v>
      </c>
      <c r="D289" s="4" t="s">
        <v>274</v>
      </c>
      <c r="E289" s="4" t="s">
        <v>9</v>
      </c>
      <c r="F289" s="4">
        <v>4936</v>
      </c>
      <c r="L289" s="4">
        <v>1</v>
      </c>
      <c r="M289" s="1"/>
    </row>
    <row r="290" spans="1:13" x14ac:dyDescent="0.3">
      <c r="A290" s="1" t="s">
        <v>22</v>
      </c>
      <c r="B290" s="1" t="s">
        <v>373</v>
      </c>
      <c r="C290" s="4">
        <v>60979</v>
      </c>
      <c r="D290" s="4" t="s">
        <v>274</v>
      </c>
      <c r="E290" s="4" t="s">
        <v>9</v>
      </c>
      <c r="F290" s="4">
        <v>4936</v>
      </c>
      <c r="L290" s="4">
        <v>1</v>
      </c>
      <c r="M290" s="1"/>
    </row>
    <row r="291" spans="1:13" x14ac:dyDescent="0.3">
      <c r="A291" s="1" t="s">
        <v>36</v>
      </c>
      <c r="B291" s="1" t="s">
        <v>374</v>
      </c>
      <c r="C291" s="4">
        <v>60780</v>
      </c>
      <c r="D291" s="4" t="s">
        <v>274</v>
      </c>
      <c r="E291" s="4" t="s">
        <v>9</v>
      </c>
      <c r="F291" s="4">
        <v>4936</v>
      </c>
      <c r="L291" s="4">
        <v>1</v>
      </c>
      <c r="M291" s="1"/>
    </row>
    <row r="292" spans="1:13" x14ac:dyDescent="0.3">
      <c r="A292" s="1" t="s">
        <v>68</v>
      </c>
      <c r="B292" s="1" t="s">
        <v>375</v>
      </c>
      <c r="C292" s="4">
        <v>60453</v>
      </c>
      <c r="D292" s="4" t="s">
        <v>274</v>
      </c>
      <c r="E292" s="4" t="s">
        <v>9</v>
      </c>
      <c r="F292" s="4">
        <v>4936</v>
      </c>
      <c r="L292" s="4">
        <v>1</v>
      </c>
      <c r="M292" s="1"/>
    </row>
    <row r="293" spans="1:13" x14ac:dyDescent="0.3">
      <c r="A293" s="1" t="s">
        <v>42</v>
      </c>
      <c r="B293" s="1" t="s">
        <v>376</v>
      </c>
      <c r="C293" s="4">
        <v>60310</v>
      </c>
      <c r="D293" s="4" t="s">
        <v>274</v>
      </c>
      <c r="E293" s="4" t="s">
        <v>9</v>
      </c>
      <c r="F293" s="4">
        <v>4936</v>
      </c>
      <c r="L293" s="4">
        <v>1</v>
      </c>
      <c r="M293" s="1"/>
    </row>
    <row r="294" spans="1:13" x14ac:dyDescent="0.3">
      <c r="A294" s="1" t="s">
        <v>40</v>
      </c>
      <c r="B294" s="1" t="s">
        <v>377</v>
      </c>
      <c r="C294" s="4">
        <v>59864</v>
      </c>
      <c r="D294" s="4" t="s">
        <v>274</v>
      </c>
      <c r="E294" s="4" t="s">
        <v>9</v>
      </c>
      <c r="F294" s="4">
        <v>4936</v>
      </c>
      <c r="L294" s="4">
        <v>1</v>
      </c>
      <c r="M294" s="1"/>
    </row>
    <row r="295" spans="1:13" x14ac:dyDescent="0.3">
      <c r="A295" s="1" t="s">
        <v>88</v>
      </c>
      <c r="B295" s="1" t="s">
        <v>378</v>
      </c>
      <c r="C295" s="4">
        <v>59535</v>
      </c>
      <c r="D295" s="4" t="s">
        <v>274</v>
      </c>
      <c r="E295" s="4" t="s">
        <v>9</v>
      </c>
      <c r="F295" s="4">
        <v>4936</v>
      </c>
      <c r="L295" s="4">
        <v>1</v>
      </c>
      <c r="M295" s="1"/>
    </row>
    <row r="296" spans="1:13" x14ac:dyDescent="0.3">
      <c r="A296" s="1" t="s">
        <v>36</v>
      </c>
      <c r="B296" s="1" t="s">
        <v>379</v>
      </c>
      <c r="C296" s="4">
        <v>59478</v>
      </c>
      <c r="D296" s="4" t="s">
        <v>274</v>
      </c>
      <c r="E296" s="4" t="s">
        <v>9</v>
      </c>
      <c r="F296" s="4">
        <v>4936</v>
      </c>
      <c r="L296" s="4">
        <v>1</v>
      </c>
      <c r="M296" s="1"/>
    </row>
    <row r="297" spans="1:13" x14ac:dyDescent="0.3">
      <c r="A297" s="1" t="s">
        <v>24</v>
      </c>
      <c r="B297" s="1" t="s">
        <v>380</v>
      </c>
      <c r="C297" s="4">
        <v>59446</v>
      </c>
      <c r="D297" s="4" t="s">
        <v>274</v>
      </c>
      <c r="E297" s="4" t="s">
        <v>9</v>
      </c>
      <c r="F297" s="4">
        <v>4936</v>
      </c>
      <c r="L297" s="4">
        <v>1</v>
      </c>
      <c r="M297" s="1"/>
    </row>
    <row r="298" spans="1:13" x14ac:dyDescent="0.3">
      <c r="A298" s="1" t="s">
        <v>46</v>
      </c>
      <c r="B298" s="1" t="s">
        <v>381</v>
      </c>
      <c r="C298" s="4">
        <v>59330</v>
      </c>
      <c r="D298" s="4" t="s">
        <v>274</v>
      </c>
      <c r="E298" s="4" t="s">
        <v>9</v>
      </c>
      <c r="F298" s="4">
        <v>4936</v>
      </c>
      <c r="L298" s="4">
        <v>1</v>
      </c>
      <c r="M298" s="1"/>
    </row>
    <row r="299" spans="1:13" x14ac:dyDescent="0.3">
      <c r="A299" s="1" t="s">
        <v>38</v>
      </c>
      <c r="B299" s="1" t="s">
        <v>382</v>
      </c>
      <c r="C299" s="4">
        <v>59306</v>
      </c>
      <c r="D299" s="4" t="s">
        <v>274</v>
      </c>
      <c r="E299" s="4" t="s">
        <v>9</v>
      </c>
      <c r="F299" s="4">
        <v>4936</v>
      </c>
      <c r="L299" s="4">
        <v>1</v>
      </c>
      <c r="M299" s="1"/>
    </row>
    <row r="300" spans="1:13" x14ac:dyDescent="0.3">
      <c r="A300" s="1" t="s">
        <v>36</v>
      </c>
      <c r="B300" s="1" t="s">
        <v>383</v>
      </c>
      <c r="C300" s="4">
        <v>59229</v>
      </c>
      <c r="D300" s="4" t="s">
        <v>274</v>
      </c>
      <c r="E300" s="4" t="s">
        <v>9</v>
      </c>
      <c r="F300" s="4">
        <v>4936</v>
      </c>
      <c r="L300" s="4">
        <v>1</v>
      </c>
      <c r="M300" s="1"/>
    </row>
    <row r="301" spans="1:13" x14ac:dyDescent="0.3">
      <c r="A301" s="1" t="s">
        <v>88</v>
      </c>
      <c r="B301" s="1" t="s">
        <v>384</v>
      </c>
      <c r="C301" s="4">
        <v>59150</v>
      </c>
      <c r="D301" s="4" t="s">
        <v>274</v>
      </c>
      <c r="E301" s="4" t="s">
        <v>9</v>
      </c>
      <c r="F301" s="4">
        <v>4936</v>
      </c>
      <c r="L301" s="4">
        <v>1</v>
      </c>
      <c r="M301" s="1"/>
    </row>
    <row r="302" spans="1:13" x14ac:dyDescent="0.3">
      <c r="A302" s="1" t="s">
        <v>22</v>
      </c>
      <c r="B302" s="1" t="s">
        <v>385</v>
      </c>
      <c r="C302" s="4">
        <v>59030</v>
      </c>
      <c r="D302" s="4" t="s">
        <v>274</v>
      </c>
      <c r="E302" s="4" t="s">
        <v>9</v>
      </c>
      <c r="F302" s="4">
        <v>4936</v>
      </c>
      <c r="L302" s="4">
        <v>1</v>
      </c>
      <c r="M302" s="1"/>
    </row>
    <row r="303" spans="1:13" x14ac:dyDescent="0.3">
      <c r="A303" s="1" t="s">
        <v>115</v>
      </c>
      <c r="B303" s="1" t="s">
        <v>386</v>
      </c>
      <c r="C303" s="4">
        <v>58565</v>
      </c>
      <c r="D303" s="4" t="s">
        <v>274</v>
      </c>
      <c r="E303" s="4" t="s">
        <v>9</v>
      </c>
      <c r="F303" s="4">
        <v>4936</v>
      </c>
      <c r="L303" s="4">
        <v>1</v>
      </c>
      <c r="M303" s="1"/>
    </row>
    <row r="304" spans="1:13" x14ac:dyDescent="0.3">
      <c r="A304" s="1" t="s">
        <v>167</v>
      </c>
      <c r="B304" s="1" t="s">
        <v>387</v>
      </c>
      <c r="C304" s="4">
        <v>58226</v>
      </c>
      <c r="D304" s="4" t="s">
        <v>274</v>
      </c>
      <c r="E304" s="4" t="s">
        <v>9</v>
      </c>
      <c r="F304" s="4">
        <v>4936</v>
      </c>
      <c r="L304" s="4">
        <v>1</v>
      </c>
      <c r="M304" s="1"/>
    </row>
    <row r="305" spans="1:13" x14ac:dyDescent="0.3">
      <c r="A305" s="1" t="s">
        <v>17</v>
      </c>
      <c r="B305" s="1" t="s">
        <v>388</v>
      </c>
      <c r="C305" s="4">
        <v>58116</v>
      </c>
      <c r="D305" s="4" t="s">
        <v>274</v>
      </c>
      <c r="E305" s="4" t="s">
        <v>9</v>
      </c>
      <c r="F305" s="4">
        <v>4936</v>
      </c>
      <c r="L305" s="4">
        <v>1</v>
      </c>
      <c r="M305" s="1"/>
    </row>
    <row r="306" spans="1:13" x14ac:dyDescent="0.3">
      <c r="A306" s="1" t="s">
        <v>131</v>
      </c>
      <c r="B306" s="1" t="s">
        <v>389</v>
      </c>
      <c r="C306" s="4">
        <v>57934</v>
      </c>
      <c r="D306" s="4" t="s">
        <v>274</v>
      </c>
      <c r="E306" s="4" t="s">
        <v>9</v>
      </c>
      <c r="F306" s="4">
        <v>4936</v>
      </c>
      <c r="L306" s="4">
        <v>1</v>
      </c>
      <c r="M306" s="1"/>
    </row>
    <row r="307" spans="1:13" x14ac:dyDescent="0.3">
      <c r="A307" s="1" t="s">
        <v>46</v>
      </c>
      <c r="B307" s="1" t="s">
        <v>390</v>
      </c>
      <c r="C307" s="4">
        <v>57927</v>
      </c>
      <c r="D307" s="4" t="s">
        <v>274</v>
      </c>
      <c r="E307" s="4" t="s">
        <v>9</v>
      </c>
      <c r="F307" s="4">
        <v>4936</v>
      </c>
      <c r="L307" s="4">
        <v>1</v>
      </c>
      <c r="M307" s="1"/>
    </row>
    <row r="308" spans="1:13" x14ac:dyDescent="0.3">
      <c r="A308" s="1" t="s">
        <v>117</v>
      </c>
      <c r="B308" s="1" t="s">
        <v>391</v>
      </c>
      <c r="C308" s="4">
        <v>57899</v>
      </c>
      <c r="D308" s="4" t="s">
        <v>274</v>
      </c>
      <c r="E308" s="4" t="s">
        <v>9</v>
      </c>
      <c r="F308" s="4">
        <v>4936</v>
      </c>
      <c r="L308" s="4">
        <v>1</v>
      </c>
      <c r="M308" s="1"/>
    </row>
    <row r="309" spans="1:13" x14ac:dyDescent="0.3">
      <c r="A309" s="1" t="s">
        <v>95</v>
      </c>
      <c r="B309" s="1" t="s">
        <v>392</v>
      </c>
      <c r="C309" s="4">
        <v>57516</v>
      </c>
      <c r="D309" s="4" t="s">
        <v>274</v>
      </c>
      <c r="E309" s="4" t="s">
        <v>9</v>
      </c>
      <c r="F309" s="4">
        <v>4936</v>
      </c>
      <c r="L309" s="4">
        <v>1</v>
      </c>
      <c r="M309" s="1"/>
    </row>
    <row r="310" spans="1:13" x14ac:dyDescent="0.3">
      <c r="A310" s="1" t="s">
        <v>106</v>
      </c>
      <c r="B310" s="1" t="s">
        <v>393</v>
      </c>
      <c r="C310" s="4">
        <v>57515</v>
      </c>
      <c r="D310" s="4" t="s">
        <v>274</v>
      </c>
      <c r="E310" s="4" t="s">
        <v>9</v>
      </c>
      <c r="F310" s="4">
        <v>4936</v>
      </c>
      <c r="L310" s="4">
        <v>1</v>
      </c>
      <c r="M310" s="1"/>
    </row>
    <row r="311" spans="1:13" x14ac:dyDescent="0.3">
      <c r="A311" s="1" t="s">
        <v>44</v>
      </c>
      <c r="B311" s="1" t="s">
        <v>394</v>
      </c>
      <c r="C311" s="4">
        <v>57447</v>
      </c>
      <c r="D311" s="4" t="s">
        <v>274</v>
      </c>
      <c r="E311" s="4" t="s">
        <v>9</v>
      </c>
      <c r="F311" s="4">
        <v>4936</v>
      </c>
      <c r="L311" s="4">
        <v>1</v>
      </c>
      <c r="M311" s="1"/>
    </row>
    <row r="312" spans="1:13" x14ac:dyDescent="0.3">
      <c r="A312" s="1" t="s">
        <v>95</v>
      </c>
      <c r="B312" s="1" t="s">
        <v>395</v>
      </c>
      <c r="C312" s="4">
        <v>57140</v>
      </c>
      <c r="D312" s="4" t="s">
        <v>274</v>
      </c>
      <c r="E312" s="4" t="s">
        <v>9</v>
      </c>
      <c r="F312" s="4">
        <v>4936</v>
      </c>
      <c r="L312" s="4">
        <v>1</v>
      </c>
      <c r="M312" s="1"/>
    </row>
    <row r="313" spans="1:13" x14ac:dyDescent="0.3">
      <c r="A313" s="1" t="s">
        <v>46</v>
      </c>
      <c r="B313" s="1" t="s">
        <v>396</v>
      </c>
      <c r="C313" s="4">
        <v>57098</v>
      </c>
      <c r="D313" s="4" t="s">
        <v>274</v>
      </c>
      <c r="E313" s="4" t="s">
        <v>9</v>
      </c>
      <c r="F313" s="4">
        <v>4936</v>
      </c>
      <c r="L313" s="4">
        <v>1</v>
      </c>
      <c r="M313" s="1"/>
    </row>
    <row r="314" spans="1:13" x14ac:dyDescent="0.3">
      <c r="A314" s="1" t="s">
        <v>109</v>
      </c>
      <c r="B314" s="1" t="s">
        <v>397</v>
      </c>
      <c r="C314" s="4">
        <v>57039</v>
      </c>
      <c r="D314" s="4" t="s">
        <v>274</v>
      </c>
      <c r="E314" s="4" t="s">
        <v>9</v>
      </c>
      <c r="F314" s="4">
        <v>4936</v>
      </c>
      <c r="L314" s="4">
        <v>1</v>
      </c>
      <c r="M314" s="1"/>
    </row>
    <row r="315" spans="1:13" x14ac:dyDescent="0.3">
      <c r="A315" s="1" t="s">
        <v>34</v>
      </c>
      <c r="B315" s="1" t="s">
        <v>398</v>
      </c>
      <c r="C315" s="4">
        <v>56832</v>
      </c>
      <c r="D315" s="4" t="s">
        <v>274</v>
      </c>
      <c r="E315" s="4" t="s">
        <v>9</v>
      </c>
      <c r="F315" s="4">
        <v>4936</v>
      </c>
      <c r="L315" s="4">
        <v>1</v>
      </c>
      <c r="M315" s="1"/>
    </row>
    <row r="316" spans="1:13" x14ac:dyDescent="0.3">
      <c r="A316" s="1" t="s">
        <v>26</v>
      </c>
      <c r="B316" s="1" t="s">
        <v>399</v>
      </c>
      <c r="C316" s="4">
        <v>56680</v>
      </c>
      <c r="D316" s="4" t="s">
        <v>274</v>
      </c>
      <c r="E316" s="4" t="s">
        <v>9</v>
      </c>
      <c r="F316" s="4">
        <v>4936</v>
      </c>
      <c r="L316" s="4">
        <v>1</v>
      </c>
      <c r="M316" s="1"/>
    </row>
    <row r="317" spans="1:13" x14ac:dyDescent="0.3">
      <c r="A317" s="1" t="s">
        <v>36</v>
      </c>
      <c r="B317" s="1" t="s">
        <v>400</v>
      </c>
      <c r="C317" s="4">
        <v>56677</v>
      </c>
      <c r="D317" s="4" t="s">
        <v>274</v>
      </c>
      <c r="E317" s="4" t="s">
        <v>9</v>
      </c>
      <c r="F317" s="4">
        <v>4936</v>
      </c>
      <c r="L317" s="4">
        <v>1</v>
      </c>
      <c r="M317" s="1"/>
    </row>
    <row r="318" spans="1:13" x14ac:dyDescent="0.3">
      <c r="A318" s="1" t="s">
        <v>17</v>
      </c>
      <c r="B318" s="1" t="s">
        <v>401</v>
      </c>
      <c r="C318" s="4">
        <v>56620</v>
      </c>
      <c r="D318" s="4" t="s">
        <v>274</v>
      </c>
      <c r="E318" s="4" t="s">
        <v>9</v>
      </c>
      <c r="F318" s="4">
        <v>4936</v>
      </c>
      <c r="L318" s="4">
        <v>1</v>
      </c>
      <c r="M318" s="1"/>
    </row>
    <row r="319" spans="1:13" x14ac:dyDescent="0.3">
      <c r="A319" s="1" t="s">
        <v>88</v>
      </c>
      <c r="B319" s="1" t="s">
        <v>402</v>
      </c>
      <c r="C319" s="4">
        <v>56376</v>
      </c>
      <c r="D319" s="4" t="s">
        <v>274</v>
      </c>
      <c r="E319" s="4" t="s">
        <v>9</v>
      </c>
      <c r="F319" s="4">
        <v>4936</v>
      </c>
      <c r="L319" s="4">
        <v>1</v>
      </c>
      <c r="M319" s="1"/>
    </row>
    <row r="320" spans="1:13" x14ac:dyDescent="0.3">
      <c r="A320" s="1" t="s">
        <v>22</v>
      </c>
      <c r="B320" s="1" t="s">
        <v>403</v>
      </c>
      <c r="C320" s="4">
        <v>56290</v>
      </c>
      <c r="D320" s="4" t="s">
        <v>274</v>
      </c>
      <c r="E320" s="4" t="s">
        <v>9</v>
      </c>
      <c r="F320" s="4">
        <v>4936</v>
      </c>
      <c r="L320" s="4">
        <v>1</v>
      </c>
      <c r="M320" s="1"/>
    </row>
    <row r="321" spans="1:13" x14ac:dyDescent="0.3">
      <c r="A321" s="1" t="s">
        <v>19</v>
      </c>
      <c r="B321" s="1" t="s">
        <v>404</v>
      </c>
      <c r="C321" s="4">
        <v>56033</v>
      </c>
      <c r="D321" s="4" t="s">
        <v>274</v>
      </c>
      <c r="E321" s="4" t="s">
        <v>9</v>
      </c>
      <c r="F321" s="4">
        <v>4936</v>
      </c>
      <c r="L321" s="4">
        <v>1</v>
      </c>
      <c r="M321" s="1"/>
    </row>
    <row r="322" spans="1:13" x14ac:dyDescent="0.3">
      <c r="A322" s="1" t="s">
        <v>143</v>
      </c>
      <c r="B322" s="1" t="s">
        <v>405</v>
      </c>
      <c r="C322" s="4">
        <v>55863</v>
      </c>
      <c r="D322" s="4" t="s">
        <v>274</v>
      </c>
      <c r="E322" s="4" t="s">
        <v>9</v>
      </c>
      <c r="F322" s="4">
        <v>4936</v>
      </c>
      <c r="L322" s="4">
        <v>1</v>
      </c>
      <c r="M322" s="1"/>
    </row>
    <row r="323" spans="1:13" x14ac:dyDescent="0.3">
      <c r="A323" s="1" t="s">
        <v>143</v>
      </c>
      <c r="B323" s="1" t="s">
        <v>406</v>
      </c>
      <c r="C323" s="4">
        <v>55076</v>
      </c>
      <c r="D323" s="4" t="s">
        <v>274</v>
      </c>
      <c r="E323" s="4" t="s">
        <v>9</v>
      </c>
      <c r="F323" s="4">
        <v>4936</v>
      </c>
      <c r="L323" s="4">
        <v>1</v>
      </c>
      <c r="M323" s="1"/>
    </row>
    <row r="324" spans="1:13" x14ac:dyDescent="0.3">
      <c r="A324" s="1" t="s">
        <v>149</v>
      </c>
      <c r="B324" s="1" t="s">
        <v>407</v>
      </c>
      <c r="C324" s="4">
        <v>54667</v>
      </c>
      <c r="D324" s="4" t="s">
        <v>274</v>
      </c>
      <c r="E324" s="4" t="s">
        <v>9</v>
      </c>
      <c r="F324" s="4">
        <v>4936</v>
      </c>
      <c r="L324" s="4">
        <v>1</v>
      </c>
      <c r="M324" s="1"/>
    </row>
    <row r="325" spans="1:13" x14ac:dyDescent="0.3">
      <c r="A325" s="1" t="s">
        <v>174</v>
      </c>
      <c r="B325" s="1" t="s">
        <v>408</v>
      </c>
      <c r="C325" s="4">
        <v>54017</v>
      </c>
      <c r="D325" s="4" t="s">
        <v>274</v>
      </c>
      <c r="E325" s="4" t="s">
        <v>9</v>
      </c>
      <c r="F325" s="4">
        <v>4936</v>
      </c>
      <c r="L325" s="4">
        <v>1</v>
      </c>
      <c r="M325" s="1"/>
    </row>
    <row r="326" spans="1:13" x14ac:dyDescent="0.3">
      <c r="A326" s="1" t="s">
        <v>149</v>
      </c>
      <c r="B326" s="1" t="s">
        <v>409</v>
      </c>
      <c r="C326" s="4">
        <v>53525</v>
      </c>
      <c r="D326" s="4" t="s">
        <v>274</v>
      </c>
      <c r="E326" s="4" t="s">
        <v>9</v>
      </c>
      <c r="F326" s="4">
        <v>4936</v>
      </c>
      <c r="L326" s="4">
        <v>1</v>
      </c>
      <c r="M326" s="1"/>
    </row>
    <row r="327" spans="1:13" x14ac:dyDescent="0.3">
      <c r="A327" s="1" t="s">
        <v>40</v>
      </c>
      <c r="B327" s="1" t="s">
        <v>410</v>
      </c>
      <c r="C327" s="4">
        <v>53504</v>
      </c>
      <c r="D327" s="4" t="s">
        <v>274</v>
      </c>
      <c r="E327" s="4" t="s">
        <v>9</v>
      </c>
      <c r="F327" s="4">
        <v>4936</v>
      </c>
      <c r="L327" s="4">
        <v>1</v>
      </c>
      <c r="M327" s="1"/>
    </row>
    <row r="328" spans="1:13" x14ac:dyDescent="0.3">
      <c r="A328" s="1" t="s">
        <v>158</v>
      </c>
      <c r="B328" s="1" t="s">
        <v>411</v>
      </c>
      <c r="C328" s="4">
        <v>53216</v>
      </c>
      <c r="D328" s="4" t="s">
        <v>274</v>
      </c>
      <c r="E328" s="4" t="s">
        <v>9</v>
      </c>
      <c r="F328" s="4">
        <v>4936</v>
      </c>
      <c r="L328" s="4">
        <v>1</v>
      </c>
      <c r="M328" s="1"/>
    </row>
    <row r="329" spans="1:13" x14ac:dyDescent="0.3">
      <c r="A329" s="1" t="s">
        <v>26</v>
      </c>
      <c r="B329" s="1" t="s">
        <v>412</v>
      </c>
      <c r="C329" s="4">
        <v>53010</v>
      </c>
      <c r="D329" s="4" t="s">
        <v>274</v>
      </c>
      <c r="E329" s="4" t="s">
        <v>9</v>
      </c>
      <c r="F329" s="4">
        <v>4936</v>
      </c>
      <c r="L329" s="4">
        <v>1</v>
      </c>
      <c r="M329" s="1"/>
    </row>
    <row r="330" spans="1:13" x14ac:dyDescent="0.3">
      <c r="A330" s="1" t="s">
        <v>117</v>
      </c>
      <c r="B330" s="1" t="s">
        <v>413</v>
      </c>
      <c r="C330" s="4">
        <v>52779</v>
      </c>
      <c r="D330" s="4" t="s">
        <v>274</v>
      </c>
      <c r="E330" s="4" t="s">
        <v>9</v>
      </c>
      <c r="F330" s="4">
        <v>4936</v>
      </c>
      <c r="L330" s="4">
        <v>1</v>
      </c>
      <c r="M330" s="1"/>
    </row>
    <row r="331" spans="1:13" x14ac:dyDescent="0.3">
      <c r="A331" s="1" t="s">
        <v>164</v>
      </c>
      <c r="B331" s="1" t="s">
        <v>414</v>
      </c>
      <c r="C331" s="4">
        <v>52776</v>
      </c>
      <c r="D331" s="4" t="s">
        <v>274</v>
      </c>
      <c r="E331" s="4" t="s">
        <v>9</v>
      </c>
      <c r="F331" s="4">
        <v>4936</v>
      </c>
      <c r="L331" s="4">
        <v>1</v>
      </c>
      <c r="M331" s="1"/>
    </row>
    <row r="332" spans="1:13" x14ac:dyDescent="0.3">
      <c r="A332" s="1" t="s">
        <v>42</v>
      </c>
      <c r="B332" s="1" t="s">
        <v>415</v>
      </c>
      <c r="C332" s="4">
        <v>52537</v>
      </c>
      <c r="D332" s="4" t="s">
        <v>274</v>
      </c>
      <c r="E332" s="4" t="s">
        <v>9</v>
      </c>
      <c r="F332" s="4">
        <v>4936</v>
      </c>
      <c r="L332" s="4">
        <v>1</v>
      </c>
      <c r="M332" s="1"/>
    </row>
    <row r="333" spans="1:13" x14ac:dyDescent="0.3">
      <c r="A333" s="1" t="s">
        <v>128</v>
      </c>
      <c r="B333" s="1" t="s">
        <v>416</v>
      </c>
      <c r="C333" s="4">
        <v>52347</v>
      </c>
      <c r="D333" s="4" t="s">
        <v>274</v>
      </c>
      <c r="E333" s="4" t="s">
        <v>9</v>
      </c>
      <c r="F333" s="4">
        <v>4936</v>
      </c>
      <c r="L333" s="4">
        <v>1</v>
      </c>
      <c r="M333" s="1"/>
    </row>
    <row r="334" spans="1:13" x14ac:dyDescent="0.3">
      <c r="A334" s="1" t="s">
        <v>66</v>
      </c>
      <c r="B334" s="1" t="s">
        <v>417</v>
      </c>
      <c r="C334" s="4">
        <v>52173</v>
      </c>
      <c r="D334" s="4" t="s">
        <v>274</v>
      </c>
      <c r="E334" s="4" t="s">
        <v>9</v>
      </c>
      <c r="F334" s="4">
        <v>4936</v>
      </c>
      <c r="L334" s="4">
        <v>1</v>
      </c>
      <c r="M334" s="1"/>
    </row>
    <row r="335" spans="1:13" x14ac:dyDescent="0.3">
      <c r="A335" s="1" t="s">
        <v>28</v>
      </c>
      <c r="B335" s="1" t="s">
        <v>418</v>
      </c>
      <c r="C335" s="4">
        <v>51751</v>
      </c>
      <c r="D335" s="4" t="s">
        <v>274</v>
      </c>
      <c r="E335" s="4" t="s">
        <v>9</v>
      </c>
      <c r="F335" s="4">
        <v>4936</v>
      </c>
      <c r="L335" s="4">
        <v>1</v>
      </c>
      <c r="M335" s="1"/>
    </row>
    <row r="336" spans="1:13" x14ac:dyDescent="0.3">
      <c r="A336" s="1" t="s">
        <v>30</v>
      </c>
      <c r="B336" s="1" t="s">
        <v>419</v>
      </c>
      <c r="C336" s="4">
        <v>51641</v>
      </c>
      <c r="D336" s="4" t="s">
        <v>274</v>
      </c>
      <c r="E336" s="4" t="s">
        <v>9</v>
      </c>
      <c r="F336" s="4">
        <v>4936</v>
      </c>
      <c r="L336" s="4">
        <v>1</v>
      </c>
      <c r="M336" s="1"/>
    </row>
    <row r="337" spans="1:13" x14ac:dyDescent="0.3">
      <c r="A337" s="1" t="s">
        <v>46</v>
      </c>
      <c r="B337" s="1" t="s">
        <v>420</v>
      </c>
      <c r="C337" s="4">
        <v>51590</v>
      </c>
      <c r="D337" s="4" t="s">
        <v>274</v>
      </c>
      <c r="E337" s="4" t="s">
        <v>9</v>
      </c>
      <c r="F337" s="4">
        <v>4936</v>
      </c>
      <c r="L337" s="4">
        <v>1</v>
      </c>
      <c r="M337" s="1"/>
    </row>
    <row r="338" spans="1:13" x14ac:dyDescent="0.3">
      <c r="A338" s="1" t="s">
        <v>119</v>
      </c>
      <c r="B338" s="1" t="s">
        <v>421</v>
      </c>
      <c r="C338" s="4">
        <v>51387</v>
      </c>
      <c r="D338" s="4" t="s">
        <v>274</v>
      </c>
      <c r="E338" s="4" t="s">
        <v>9</v>
      </c>
      <c r="F338" s="4">
        <v>4936</v>
      </c>
      <c r="L338" s="4">
        <v>1</v>
      </c>
      <c r="M338" s="1"/>
    </row>
    <row r="339" spans="1:13" x14ac:dyDescent="0.3">
      <c r="A339" s="1" t="s">
        <v>243</v>
      </c>
      <c r="B339" s="1" t="s">
        <v>422</v>
      </c>
      <c r="C339" s="4">
        <v>50976</v>
      </c>
      <c r="D339" s="4" t="s">
        <v>274</v>
      </c>
      <c r="E339" s="4" t="s">
        <v>9</v>
      </c>
      <c r="F339" s="4">
        <v>4936</v>
      </c>
      <c r="L339" s="4">
        <v>1</v>
      </c>
      <c r="M339" s="1"/>
    </row>
    <row r="340" spans="1:13" x14ac:dyDescent="0.3">
      <c r="A340" s="1" t="s">
        <v>46</v>
      </c>
      <c r="B340" s="1" t="s">
        <v>423</v>
      </c>
      <c r="C340" s="4">
        <v>50792</v>
      </c>
      <c r="D340" s="4" t="s">
        <v>274</v>
      </c>
      <c r="E340" s="4" t="s">
        <v>9</v>
      </c>
      <c r="F340" s="4">
        <v>4936</v>
      </c>
      <c r="L340" s="4">
        <v>1</v>
      </c>
      <c r="M340" s="1"/>
    </row>
    <row r="341" spans="1:13" x14ac:dyDescent="0.3">
      <c r="A341" s="1" t="s">
        <v>17</v>
      </c>
      <c r="B341" s="1" t="s">
        <v>424</v>
      </c>
      <c r="C341" s="4">
        <v>50525</v>
      </c>
      <c r="D341" s="4" t="s">
        <v>274</v>
      </c>
      <c r="E341" s="4" t="s">
        <v>9</v>
      </c>
      <c r="F341" s="4">
        <v>4936</v>
      </c>
      <c r="L341" s="4">
        <v>1</v>
      </c>
      <c r="M341" s="1"/>
    </row>
    <row r="342" spans="1:13" x14ac:dyDescent="0.3">
      <c r="A342" s="1" t="s">
        <v>88</v>
      </c>
      <c r="B342" s="1" t="s">
        <v>425</v>
      </c>
      <c r="C342" s="4">
        <v>50169</v>
      </c>
      <c r="D342" s="4" t="s">
        <v>274</v>
      </c>
      <c r="E342" s="4" t="s">
        <v>9</v>
      </c>
      <c r="F342" s="4">
        <v>4936</v>
      </c>
      <c r="L342" s="4">
        <v>1</v>
      </c>
      <c r="M342" s="1"/>
    </row>
    <row r="343" spans="1:13" x14ac:dyDescent="0.3">
      <c r="A343" s="1" t="s">
        <v>60</v>
      </c>
      <c r="B343" s="1" t="s">
        <v>426</v>
      </c>
      <c r="C343" s="4">
        <v>50154</v>
      </c>
      <c r="D343" s="4" t="s">
        <v>274</v>
      </c>
      <c r="E343" s="4" t="s">
        <v>9</v>
      </c>
      <c r="F343" s="4">
        <v>4936</v>
      </c>
      <c r="G343">
        <v>0</v>
      </c>
      <c r="L343" s="4">
        <v>1</v>
      </c>
      <c r="M343" s="1"/>
    </row>
    <row r="344" spans="1: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</sheetData>
  <autoFilter ref="A20:B343" xr:uid="{00000000-0009-0000-0000-000001000000}"/>
  <mergeCells count="1">
    <mergeCell ref="A8:B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zoomScale="70" zoomScaleNormal="70" workbookViewId="0">
      <selection activeCell="B7" sqref="B7"/>
    </sheetView>
  </sheetViews>
  <sheetFormatPr defaultColWidth="0" defaultRowHeight="15.6" customHeight="1" zeroHeight="1" x14ac:dyDescent="0.3"/>
  <cols>
    <col min="1" max="1" width="44.5546875" style="16" customWidth="1"/>
    <col min="2" max="2" width="59.88671875" style="16" customWidth="1"/>
    <col min="3" max="3" width="51.33203125" style="16" customWidth="1"/>
    <col min="4" max="4" width="3.33203125" style="16" customWidth="1"/>
    <col min="5" max="5" width="119.44140625" style="16" customWidth="1"/>
    <col min="6" max="6" width="11.88671875" style="16" customWidth="1"/>
    <col min="7" max="16384" width="11.88671875" style="13" hidden="1"/>
  </cols>
  <sheetData>
    <row r="1" spans="1:5" ht="28.8" x14ac:dyDescent="0.55000000000000004">
      <c r="A1" s="15" t="s">
        <v>485</v>
      </c>
    </row>
    <row r="2" spans="1:5" ht="15" thickBot="1" x14ac:dyDescent="0.35"/>
    <row r="3" spans="1:5" ht="29.4" thickBot="1" x14ac:dyDescent="0.35">
      <c r="A3" s="17" t="s">
        <v>486</v>
      </c>
      <c r="B3" s="17" t="s">
        <v>430</v>
      </c>
      <c r="C3" s="17" t="s">
        <v>487</v>
      </c>
      <c r="D3" s="17"/>
      <c r="E3" s="17" t="s">
        <v>488</v>
      </c>
    </row>
    <row r="4" spans="1:5" ht="24.6" thickTop="1" thickBot="1" x14ac:dyDescent="0.35">
      <c r="A4" s="18" t="s">
        <v>489</v>
      </c>
      <c r="B4" s="19"/>
      <c r="C4" s="20"/>
      <c r="D4" s="18"/>
      <c r="E4" s="21" t="s">
        <v>490</v>
      </c>
    </row>
    <row r="5" spans="1:5" ht="54.6" thickBot="1" x14ac:dyDescent="0.35">
      <c r="A5" s="22" t="s">
        <v>491</v>
      </c>
      <c r="B5" s="23" t="s">
        <v>746</v>
      </c>
      <c r="C5" s="24" t="s">
        <v>492</v>
      </c>
      <c r="D5" s="17"/>
      <c r="E5" s="25" t="s">
        <v>493</v>
      </c>
    </row>
    <row r="6" spans="1:5" ht="71.400000000000006" thickTop="1" thickBot="1" x14ac:dyDescent="0.35">
      <c r="A6" s="18" t="s">
        <v>0</v>
      </c>
      <c r="B6" s="19" t="s">
        <v>748</v>
      </c>
      <c r="C6" s="20" t="s">
        <v>494</v>
      </c>
      <c r="D6" s="18"/>
      <c r="E6" s="21" t="s">
        <v>495</v>
      </c>
    </row>
    <row r="7" spans="1:5" ht="36.6" thickBot="1" x14ac:dyDescent="0.35">
      <c r="A7" s="22" t="s">
        <v>496</v>
      </c>
      <c r="B7" s="23" t="s">
        <v>744</v>
      </c>
      <c r="C7" s="26" t="s">
        <v>497</v>
      </c>
      <c r="D7" s="17"/>
      <c r="E7" s="25" t="s">
        <v>498</v>
      </c>
    </row>
    <row r="8" spans="1:5" ht="37.200000000000003" thickTop="1" thickBot="1" x14ac:dyDescent="0.35">
      <c r="A8" s="22" t="s">
        <v>499</v>
      </c>
      <c r="B8" s="23" t="s">
        <v>747</v>
      </c>
      <c r="C8" s="28" t="s">
        <v>500</v>
      </c>
      <c r="D8" s="18"/>
      <c r="E8" s="29" t="s">
        <v>501</v>
      </c>
    </row>
    <row r="9" spans="1:5" ht="36.6" thickBot="1" x14ac:dyDescent="0.35">
      <c r="A9" s="22" t="s">
        <v>502</v>
      </c>
      <c r="C9" s="26" t="s">
        <v>500</v>
      </c>
      <c r="D9" s="17"/>
      <c r="E9" s="25" t="s">
        <v>503</v>
      </c>
    </row>
    <row r="10" spans="1:5" ht="71.400000000000006" thickTop="1" thickBot="1" x14ac:dyDescent="0.35">
      <c r="A10" s="22" t="s">
        <v>504</v>
      </c>
      <c r="B10" s="27"/>
      <c r="C10" s="28" t="s">
        <v>505</v>
      </c>
      <c r="D10" s="18"/>
      <c r="E10" s="29" t="s">
        <v>506</v>
      </c>
    </row>
    <row r="11" spans="1:5" ht="70.8" thickBot="1" x14ac:dyDescent="0.35">
      <c r="A11" s="22" t="s">
        <v>507</v>
      </c>
      <c r="B11" s="23"/>
      <c r="C11" s="26" t="s">
        <v>508</v>
      </c>
      <c r="D11" s="17"/>
      <c r="E11" s="25" t="s">
        <v>506</v>
      </c>
    </row>
    <row r="12" spans="1:5" ht="71.400000000000006" thickTop="1" thickBot="1" x14ac:dyDescent="0.35">
      <c r="A12" s="22" t="s">
        <v>509</v>
      </c>
      <c r="B12" s="27" t="s">
        <v>745</v>
      </c>
      <c r="C12" s="28" t="s">
        <v>505</v>
      </c>
      <c r="D12" s="18"/>
      <c r="E12" s="29" t="s">
        <v>506</v>
      </c>
    </row>
    <row r="13" spans="1:5" ht="70.8" thickBot="1" x14ac:dyDescent="0.35">
      <c r="A13" s="22" t="s">
        <v>510</v>
      </c>
      <c r="B13" s="23" t="s">
        <v>746</v>
      </c>
      <c r="C13" s="26" t="s">
        <v>511</v>
      </c>
      <c r="D13" s="17"/>
      <c r="E13" s="25" t="s">
        <v>506</v>
      </c>
    </row>
    <row r="14" spans="1:5" ht="55.2" thickTop="1" thickBot="1" x14ac:dyDescent="0.35">
      <c r="A14" s="30" t="s">
        <v>512</v>
      </c>
      <c r="B14" s="31" t="s">
        <v>743</v>
      </c>
      <c r="C14" s="28" t="s">
        <v>513</v>
      </c>
      <c r="D14" s="18"/>
      <c r="E14" s="32" t="s">
        <v>514</v>
      </c>
    </row>
    <row r="15" spans="1:5" ht="14.4" x14ac:dyDescent="0.3"/>
    <row r="16" spans="1:5" ht="14.4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zoomScale="60" zoomScaleNormal="60" workbookViewId="0">
      <selection activeCell="B10" sqref="B10"/>
    </sheetView>
  </sheetViews>
  <sheetFormatPr defaultColWidth="0" defaultRowHeight="15.6" customHeight="1" zeroHeight="1" x14ac:dyDescent="0.3"/>
  <cols>
    <col min="1" max="1" width="48.44140625" style="13" customWidth="1"/>
    <col min="2" max="2" width="35.44140625" style="13" customWidth="1"/>
    <col min="3" max="3" width="112.44140625" style="13" customWidth="1"/>
    <col min="4" max="4" width="11.88671875" style="13" customWidth="1"/>
    <col min="5" max="16384" width="11.88671875" style="13" hidden="1"/>
  </cols>
  <sheetData>
    <row r="1" spans="1:5" ht="28.8" x14ac:dyDescent="0.55000000000000004">
      <c r="A1" s="15" t="s">
        <v>727</v>
      </c>
      <c r="B1" s="16"/>
      <c r="C1" s="16"/>
      <c r="D1" s="16"/>
    </row>
    <row r="2" spans="1:5" ht="15" thickBot="1" x14ac:dyDescent="0.35">
      <c r="A2" s="16"/>
      <c r="B2" s="16"/>
      <c r="C2" s="16"/>
      <c r="D2" s="16"/>
    </row>
    <row r="3" spans="1:5" ht="29.4" thickBot="1" x14ac:dyDescent="0.35">
      <c r="A3" s="17" t="s">
        <v>728</v>
      </c>
      <c r="B3" s="61" t="s">
        <v>729</v>
      </c>
      <c r="C3" s="17" t="s">
        <v>730</v>
      </c>
      <c r="D3" s="16"/>
    </row>
    <row r="4" spans="1:5" ht="24.6" thickTop="1" thickBot="1" x14ac:dyDescent="0.35">
      <c r="A4" s="18" t="s">
        <v>515</v>
      </c>
      <c r="B4" s="62">
        <v>123456789</v>
      </c>
      <c r="C4" s="21" t="s">
        <v>731</v>
      </c>
      <c r="D4" s="16"/>
    </row>
    <row r="5" spans="1:5" ht="24.6" thickTop="1" thickBot="1" x14ac:dyDescent="0.35">
      <c r="A5" s="18" t="s">
        <v>516</v>
      </c>
      <c r="B5" s="63" t="s">
        <v>732</v>
      </c>
      <c r="C5" s="25" t="s">
        <v>731</v>
      </c>
      <c r="D5" s="16"/>
    </row>
    <row r="6" spans="1:5" ht="24.6" thickTop="1" thickBot="1" x14ac:dyDescent="0.35">
      <c r="A6" s="18" t="s">
        <v>517</v>
      </c>
      <c r="B6" s="64" t="s">
        <v>733</v>
      </c>
      <c r="C6" s="29" t="s">
        <v>731</v>
      </c>
      <c r="D6" s="16"/>
    </row>
    <row r="7" spans="1:5" ht="24.6" thickTop="1" thickBot="1" x14ac:dyDescent="0.35">
      <c r="A7" s="18" t="s">
        <v>0</v>
      </c>
      <c r="B7" s="63" t="s">
        <v>598</v>
      </c>
      <c r="C7" s="25" t="s">
        <v>734</v>
      </c>
      <c r="D7" s="16"/>
    </row>
    <row r="8" spans="1:5" ht="73.2" thickTop="1" thickBot="1" x14ac:dyDescent="0.35">
      <c r="A8" s="18" t="s">
        <v>735</v>
      </c>
      <c r="B8" s="63">
        <v>3</v>
      </c>
      <c r="C8" s="65" t="s">
        <v>736</v>
      </c>
      <c r="D8" s="16"/>
    </row>
    <row r="9" spans="1:5" ht="73.2" thickTop="1" thickBot="1" x14ac:dyDescent="0.35">
      <c r="A9" s="18" t="s">
        <v>737</v>
      </c>
      <c r="B9" s="64">
        <v>2</v>
      </c>
      <c r="C9" s="66" t="s">
        <v>738</v>
      </c>
      <c r="D9" s="16"/>
    </row>
    <row r="10" spans="1:5" ht="71.400000000000006" thickTop="1" thickBot="1" x14ac:dyDescent="0.35">
      <c r="A10" s="18" t="s">
        <v>739</v>
      </c>
      <c r="B10" s="63">
        <v>1.3485</v>
      </c>
      <c r="C10" s="65" t="s">
        <v>740</v>
      </c>
      <c r="D10" s="16"/>
    </row>
    <row r="11" spans="1:5" ht="24.6" thickTop="1" thickBot="1" x14ac:dyDescent="0.35">
      <c r="A11" s="18" t="s">
        <v>741</v>
      </c>
      <c r="B11" s="67">
        <v>4951234578</v>
      </c>
      <c r="C11" s="68" t="s">
        <v>742</v>
      </c>
      <c r="D11" s="16"/>
    </row>
    <row r="12" spans="1:5" ht="14.4" x14ac:dyDescent="0.3">
      <c r="A12" s="16"/>
      <c r="B12" s="16"/>
      <c r="C12" s="16"/>
      <c r="D12" s="16"/>
      <c r="E12" s="16"/>
    </row>
    <row r="13" spans="1:5" ht="14.4" x14ac:dyDescent="0.3">
      <c r="A13" s="16"/>
      <c r="B13" s="16"/>
      <c r="C13" s="16"/>
      <c r="D13" s="16"/>
      <c r="E13" s="16"/>
    </row>
    <row r="14" spans="1:5" ht="14.4" x14ac:dyDescent="0.3">
      <c r="A14" s="16"/>
      <c r="B14" s="16"/>
      <c r="C14" s="16"/>
      <c r="D14" s="16"/>
      <c r="E14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9"/>
  <sheetViews>
    <sheetView zoomScale="50" zoomScaleNormal="50" workbookViewId="0">
      <selection activeCell="K2" sqref="K2"/>
    </sheetView>
  </sheetViews>
  <sheetFormatPr defaultColWidth="12" defaultRowHeight="14.4" x14ac:dyDescent="0.3"/>
  <cols>
    <col min="1" max="1" width="12" style="13" customWidth="1"/>
    <col min="2" max="2" width="15.88671875" style="13" customWidth="1"/>
    <col min="3" max="3" width="7.5546875" style="13" bestFit="1" customWidth="1"/>
    <col min="4" max="4" width="10.6640625" style="13" bestFit="1" customWidth="1"/>
    <col min="5" max="5" width="15.88671875" style="13" customWidth="1"/>
    <col min="6" max="6" width="9.5546875" style="13" bestFit="1" customWidth="1"/>
    <col min="7" max="8" width="17.44140625" style="13" customWidth="1"/>
    <col min="9" max="9" width="15.109375" style="13" customWidth="1"/>
    <col min="10" max="10" width="14.6640625" style="13" bestFit="1" customWidth="1"/>
    <col min="11" max="11" width="12" style="13" customWidth="1"/>
    <col min="12" max="13" width="9.5546875" style="13" bestFit="1" customWidth="1"/>
    <col min="14" max="14" width="10.88671875" style="13" bestFit="1" customWidth="1"/>
    <col min="15" max="16" width="11.88671875" style="13" customWidth="1"/>
    <col min="17" max="17" width="20.6640625" style="13" bestFit="1" customWidth="1"/>
    <col min="18" max="18" width="25.109375" style="13" customWidth="1"/>
    <col min="19" max="35" width="17.33203125" style="13" customWidth="1"/>
    <col min="36" max="16384" width="12" style="13"/>
  </cols>
  <sheetData>
    <row r="1" spans="1:35" ht="69.599999999999994" x14ac:dyDescent="0.3">
      <c r="A1" s="71" t="s">
        <v>515</v>
      </c>
      <c r="B1" s="71" t="s">
        <v>516</v>
      </c>
      <c r="C1" s="71" t="s">
        <v>517</v>
      </c>
      <c r="D1" s="79" t="s">
        <v>518</v>
      </c>
      <c r="E1" s="79" t="s">
        <v>519</v>
      </c>
      <c r="F1" s="79" t="s">
        <v>520</v>
      </c>
      <c r="G1" s="71" t="s">
        <v>0</v>
      </c>
      <c r="H1" s="33" t="s">
        <v>521</v>
      </c>
      <c r="I1" s="73" t="s">
        <v>522</v>
      </c>
      <c r="J1" s="74"/>
      <c r="K1" s="75"/>
      <c r="L1" s="73" t="s">
        <v>523</v>
      </c>
      <c r="M1" s="74"/>
      <c r="N1" s="75"/>
      <c r="O1" s="76" t="s">
        <v>524</v>
      </c>
      <c r="P1" s="77"/>
      <c r="Q1" s="78"/>
      <c r="R1" s="34" t="s">
        <v>525</v>
      </c>
      <c r="S1" s="35"/>
      <c r="T1" s="35"/>
      <c r="U1" s="35"/>
      <c r="V1" s="35"/>
      <c r="W1" s="35"/>
      <c r="X1" s="35"/>
      <c r="Y1" s="35"/>
      <c r="Z1" s="35"/>
      <c r="AA1" s="35"/>
      <c r="AB1" s="36" t="s">
        <v>526</v>
      </c>
      <c r="AC1" s="37" t="s">
        <v>527</v>
      </c>
      <c r="AI1" s="38"/>
    </row>
    <row r="2" spans="1:35" ht="72" x14ac:dyDescent="0.3">
      <c r="A2" s="72"/>
      <c r="B2" s="72"/>
      <c r="C2" s="72"/>
      <c r="D2" s="80"/>
      <c r="E2" s="80"/>
      <c r="F2" s="80"/>
      <c r="G2" s="72"/>
      <c r="H2" s="39" t="s">
        <v>528</v>
      </c>
      <c r="I2" s="40" t="s">
        <v>529</v>
      </c>
      <c r="J2" s="40" t="s">
        <v>530</v>
      </c>
      <c r="K2" s="41" t="s">
        <v>531</v>
      </c>
      <c r="L2" s="40" t="s">
        <v>532</v>
      </c>
      <c r="M2" s="33" t="s">
        <v>533</v>
      </c>
      <c r="N2" s="42" t="s">
        <v>531</v>
      </c>
      <c r="O2" s="43" t="s">
        <v>534</v>
      </c>
      <c r="P2" s="43" t="s">
        <v>535</v>
      </c>
      <c r="Q2" s="43" t="s">
        <v>536</v>
      </c>
      <c r="R2" s="43" t="s">
        <v>537</v>
      </c>
      <c r="S2" s="43" t="s">
        <v>538</v>
      </c>
      <c r="T2" s="43" t="s">
        <v>539</v>
      </c>
      <c r="U2" s="44" t="s">
        <v>540</v>
      </c>
      <c r="V2" s="43" t="s">
        <v>541</v>
      </c>
      <c r="W2" s="43" t="s">
        <v>542</v>
      </c>
      <c r="X2" s="43" t="s">
        <v>543</v>
      </c>
      <c r="Y2" s="43" t="s">
        <v>544</v>
      </c>
      <c r="Z2" s="43" t="s">
        <v>545</v>
      </c>
      <c r="AA2" s="43" t="s">
        <v>546</v>
      </c>
      <c r="AC2" s="43" t="s">
        <v>547</v>
      </c>
      <c r="AD2" s="43" t="s">
        <v>548</v>
      </c>
      <c r="AE2" s="43" t="s">
        <v>549</v>
      </c>
      <c r="AF2" s="43" t="s">
        <v>550</v>
      </c>
      <c r="AG2" s="43" t="s">
        <v>551</v>
      </c>
      <c r="AH2" s="36" t="s">
        <v>552</v>
      </c>
      <c r="AI2" s="36" t="s">
        <v>553</v>
      </c>
    </row>
    <row r="3" spans="1:35" ht="93.6" x14ac:dyDescent="0.3">
      <c r="A3" s="45" t="s">
        <v>554</v>
      </c>
      <c r="B3" s="45" t="s">
        <v>555</v>
      </c>
      <c r="C3" s="45" t="s">
        <v>556</v>
      </c>
      <c r="D3" s="46" t="s">
        <v>557</v>
      </c>
      <c r="E3" s="46" t="s">
        <v>558</v>
      </c>
      <c r="F3" s="46" t="s">
        <v>559</v>
      </c>
      <c r="G3" s="45" t="s">
        <v>560</v>
      </c>
      <c r="H3" s="47">
        <v>0.95</v>
      </c>
      <c r="I3" s="45">
        <v>5</v>
      </c>
      <c r="J3" s="45">
        <v>4</v>
      </c>
      <c r="K3" s="48">
        <v>3</v>
      </c>
      <c r="L3" s="45">
        <v>1</v>
      </c>
      <c r="M3" s="45"/>
      <c r="N3" s="49">
        <v>1.128688464581489</v>
      </c>
      <c r="O3" s="45" t="s">
        <v>561</v>
      </c>
      <c r="P3" s="45" t="s">
        <v>562</v>
      </c>
      <c r="Q3" s="45" t="s">
        <v>563</v>
      </c>
      <c r="R3" s="50" t="s">
        <v>564</v>
      </c>
      <c r="S3" s="50" t="s">
        <v>565</v>
      </c>
      <c r="T3" s="51" t="s">
        <v>566</v>
      </c>
      <c r="U3" s="52" t="s">
        <v>567</v>
      </c>
      <c r="V3" s="52" t="s">
        <v>568</v>
      </c>
      <c r="W3" s="50" t="s">
        <v>569</v>
      </c>
      <c r="X3" s="50" t="s">
        <v>570</v>
      </c>
      <c r="Y3" s="50" t="s">
        <v>571</v>
      </c>
      <c r="Z3" s="50" t="s">
        <v>572</v>
      </c>
      <c r="AA3" s="50" t="s">
        <v>573</v>
      </c>
      <c r="AB3" s="53" t="s">
        <v>574</v>
      </c>
      <c r="AC3" s="50" t="s">
        <v>575</v>
      </c>
      <c r="AD3" s="54" t="s">
        <v>576</v>
      </c>
      <c r="AE3" s="50" t="s">
        <v>577</v>
      </c>
      <c r="AF3" s="50" t="s">
        <v>578</v>
      </c>
      <c r="AG3" s="50" t="s">
        <v>579</v>
      </c>
      <c r="AH3" s="55" t="s">
        <v>580</v>
      </c>
      <c r="AI3" s="56">
        <v>2490</v>
      </c>
    </row>
    <row r="4" spans="1:35" ht="93.6" x14ac:dyDescent="0.3">
      <c r="A4" s="45" t="s">
        <v>581</v>
      </c>
      <c r="B4" s="45" t="s">
        <v>582</v>
      </c>
      <c r="C4" s="45" t="s">
        <v>583</v>
      </c>
      <c r="D4" s="46" t="s">
        <v>584</v>
      </c>
      <c r="E4" s="46" t="s">
        <v>585</v>
      </c>
      <c r="F4" s="46" t="s">
        <v>586</v>
      </c>
      <c r="G4" s="45" t="s">
        <v>587</v>
      </c>
      <c r="H4" s="47">
        <v>0.92</v>
      </c>
      <c r="I4" s="45">
        <v>4</v>
      </c>
      <c r="J4" s="45">
        <v>5</v>
      </c>
      <c r="K4" s="48">
        <v>3</v>
      </c>
      <c r="L4" s="45">
        <v>4</v>
      </c>
      <c r="M4" s="45"/>
      <c r="N4" s="49">
        <v>0.3439251073755395</v>
      </c>
      <c r="O4" s="45" t="s">
        <v>588</v>
      </c>
      <c r="P4" s="45" t="s">
        <v>589</v>
      </c>
      <c r="Q4" s="45" t="s">
        <v>590</v>
      </c>
      <c r="R4" s="50" t="s">
        <v>564</v>
      </c>
      <c r="S4" s="50" t="s">
        <v>591</v>
      </c>
      <c r="T4" s="51" t="s">
        <v>566</v>
      </c>
      <c r="U4" s="52" t="s">
        <v>567</v>
      </c>
      <c r="V4" s="52" t="s">
        <v>568</v>
      </c>
      <c r="W4" s="50" t="s">
        <v>569</v>
      </c>
      <c r="X4" s="50" t="s">
        <v>570</v>
      </c>
      <c r="Y4" s="50" t="s">
        <v>571</v>
      </c>
      <c r="Z4" s="50" t="s">
        <v>572</v>
      </c>
      <c r="AA4" s="50" t="s">
        <v>573</v>
      </c>
      <c r="AB4" s="53" t="s">
        <v>574</v>
      </c>
      <c r="AC4" s="50" t="s">
        <v>575</v>
      </c>
      <c r="AD4" s="54" t="s">
        <v>576</v>
      </c>
      <c r="AE4" s="50" t="s">
        <v>577</v>
      </c>
      <c r="AF4" s="50" t="s">
        <v>578</v>
      </c>
      <c r="AG4" s="50" t="s">
        <v>579</v>
      </c>
      <c r="AH4" s="55" t="s">
        <v>580</v>
      </c>
      <c r="AI4" s="56">
        <v>1598</v>
      </c>
    </row>
    <row r="5" spans="1:35" ht="93.6" x14ac:dyDescent="0.3">
      <c r="A5" s="45" t="s">
        <v>592</v>
      </c>
      <c r="B5" s="45" t="s">
        <v>593</v>
      </c>
      <c r="C5" s="45" t="s">
        <v>594</v>
      </c>
      <c r="D5" s="46" t="s">
        <v>595</v>
      </c>
      <c r="E5" s="46" t="s">
        <v>596</v>
      </c>
      <c r="F5" s="46" t="s">
        <v>597</v>
      </c>
      <c r="G5" s="45" t="s">
        <v>598</v>
      </c>
      <c r="H5" s="47">
        <v>0.89</v>
      </c>
      <c r="I5" s="45">
        <v>3</v>
      </c>
      <c r="J5" s="45">
        <v>5</v>
      </c>
      <c r="K5" s="48">
        <v>1.460689092401847</v>
      </c>
      <c r="L5" s="45" t="s">
        <v>599</v>
      </c>
      <c r="M5" s="45" t="s">
        <v>599</v>
      </c>
      <c r="N5" s="57" t="s">
        <v>599</v>
      </c>
      <c r="O5" s="45"/>
      <c r="P5" s="45" t="s">
        <v>600</v>
      </c>
      <c r="Q5" s="45" t="s">
        <v>601</v>
      </c>
      <c r="R5" s="50" t="s">
        <v>564</v>
      </c>
      <c r="S5" s="50" t="s">
        <v>602</v>
      </c>
      <c r="T5" s="51" t="s">
        <v>566</v>
      </c>
      <c r="U5" s="52" t="s">
        <v>567</v>
      </c>
      <c r="V5" s="52" t="s">
        <v>568</v>
      </c>
      <c r="W5" s="50" t="s">
        <v>569</v>
      </c>
      <c r="X5" s="50" t="s">
        <v>570</v>
      </c>
      <c r="Y5" s="50" t="s">
        <v>571</v>
      </c>
      <c r="Z5" s="50" t="s">
        <v>572</v>
      </c>
      <c r="AA5" s="50" t="s">
        <v>573</v>
      </c>
      <c r="AB5" s="53" t="s">
        <v>574</v>
      </c>
      <c r="AC5" s="50" t="s">
        <v>575</v>
      </c>
      <c r="AD5" s="54" t="s">
        <v>576</v>
      </c>
      <c r="AE5" s="50" t="s">
        <v>577</v>
      </c>
      <c r="AF5" s="50" t="s">
        <v>578</v>
      </c>
      <c r="AG5" s="50" t="s">
        <v>579</v>
      </c>
      <c r="AH5" s="55" t="s">
        <v>580</v>
      </c>
      <c r="AI5" s="56">
        <v>2894</v>
      </c>
    </row>
    <row r="6" spans="1:35" ht="93.6" x14ac:dyDescent="0.3">
      <c r="A6" s="45" t="s">
        <v>603</v>
      </c>
      <c r="B6" s="45" t="s">
        <v>604</v>
      </c>
      <c r="C6" s="45" t="s">
        <v>605</v>
      </c>
      <c r="D6" s="46" t="s">
        <v>606</v>
      </c>
      <c r="E6" s="46" t="s">
        <v>607</v>
      </c>
      <c r="F6" s="46" t="s">
        <v>608</v>
      </c>
      <c r="G6" s="45" t="s">
        <v>560</v>
      </c>
      <c r="H6" s="47">
        <v>0.86</v>
      </c>
      <c r="I6" s="45">
        <v>4</v>
      </c>
      <c r="J6" s="45">
        <v>1</v>
      </c>
      <c r="K6" s="48">
        <v>1.2118006172442799</v>
      </c>
      <c r="L6" s="45" t="s">
        <v>599</v>
      </c>
      <c r="M6" s="45" t="s">
        <v>599</v>
      </c>
      <c r="N6" s="57" t="s">
        <v>599</v>
      </c>
      <c r="O6" s="45" t="s">
        <v>609</v>
      </c>
      <c r="P6" s="45" t="s">
        <v>610</v>
      </c>
      <c r="Q6" s="45" t="s">
        <v>611</v>
      </c>
      <c r="R6" s="50" t="s">
        <v>564</v>
      </c>
      <c r="S6" s="50" t="s">
        <v>612</v>
      </c>
      <c r="T6" s="51" t="s">
        <v>566</v>
      </c>
      <c r="U6" s="52" t="s">
        <v>567</v>
      </c>
      <c r="V6" s="52" t="s">
        <v>568</v>
      </c>
      <c r="W6" s="50" t="s">
        <v>569</v>
      </c>
      <c r="X6" s="50" t="s">
        <v>570</v>
      </c>
      <c r="Y6" s="50" t="s">
        <v>571</v>
      </c>
      <c r="Z6" s="50" t="s">
        <v>572</v>
      </c>
      <c r="AA6" s="50" t="s">
        <v>573</v>
      </c>
      <c r="AB6" s="53" t="s">
        <v>574</v>
      </c>
      <c r="AC6" s="50" t="s">
        <v>575</v>
      </c>
      <c r="AD6" s="54" t="s">
        <v>576</v>
      </c>
      <c r="AE6" s="50" t="s">
        <v>577</v>
      </c>
      <c r="AF6" s="50" t="s">
        <v>578</v>
      </c>
      <c r="AG6" s="50" t="s">
        <v>579</v>
      </c>
      <c r="AH6" s="55" t="s">
        <v>580</v>
      </c>
      <c r="AI6" s="56">
        <v>2731.3333333333298</v>
      </c>
    </row>
    <row r="7" spans="1:35" ht="93.6" x14ac:dyDescent="0.3">
      <c r="A7" s="45" t="s">
        <v>613</v>
      </c>
      <c r="B7" s="45" t="s">
        <v>614</v>
      </c>
      <c r="C7" s="45" t="s">
        <v>615</v>
      </c>
      <c r="D7" s="46" t="s">
        <v>584</v>
      </c>
      <c r="E7" s="46" t="s">
        <v>616</v>
      </c>
      <c r="F7" s="46" t="s">
        <v>617</v>
      </c>
      <c r="G7" s="45" t="s">
        <v>560</v>
      </c>
      <c r="H7" s="47">
        <v>0.83</v>
      </c>
      <c r="I7" s="45">
        <v>4</v>
      </c>
      <c r="J7" s="45">
        <v>3</v>
      </c>
      <c r="K7" s="48">
        <v>1.1920806726030679</v>
      </c>
      <c r="L7" s="45">
        <v>4</v>
      </c>
      <c r="M7" s="45"/>
      <c r="N7" s="49">
        <v>1.2118006172442799</v>
      </c>
      <c r="O7" s="45" t="s">
        <v>618</v>
      </c>
      <c r="P7" s="45" t="s">
        <v>619</v>
      </c>
      <c r="Q7" s="45"/>
      <c r="R7" s="50" t="s">
        <v>564</v>
      </c>
      <c r="S7" s="50" t="s">
        <v>620</v>
      </c>
      <c r="T7" s="51" t="s">
        <v>566</v>
      </c>
      <c r="U7" s="52" t="s">
        <v>567</v>
      </c>
      <c r="V7" s="52" t="s">
        <v>568</v>
      </c>
      <c r="W7" s="50" t="s">
        <v>569</v>
      </c>
      <c r="X7" s="50" t="s">
        <v>570</v>
      </c>
      <c r="Y7" s="50" t="s">
        <v>571</v>
      </c>
      <c r="Z7" s="50" t="s">
        <v>572</v>
      </c>
      <c r="AA7" s="50" t="s">
        <v>573</v>
      </c>
      <c r="AB7" s="53" t="s">
        <v>574</v>
      </c>
      <c r="AC7" s="50" t="s">
        <v>575</v>
      </c>
      <c r="AD7" s="54" t="s">
        <v>576</v>
      </c>
      <c r="AE7" s="50" t="s">
        <v>577</v>
      </c>
      <c r="AF7" s="50" t="s">
        <v>578</v>
      </c>
      <c r="AG7" s="50" t="s">
        <v>579</v>
      </c>
      <c r="AH7" s="55" t="s">
        <v>580</v>
      </c>
      <c r="AI7" s="56">
        <v>2933.3333333333298</v>
      </c>
    </row>
    <row r="8" spans="1:35" ht="93.6" x14ac:dyDescent="0.3">
      <c r="A8" s="45" t="s">
        <v>621</v>
      </c>
      <c r="B8" s="45" t="s">
        <v>622</v>
      </c>
      <c r="C8" s="45" t="s">
        <v>623</v>
      </c>
      <c r="D8" s="46" t="s">
        <v>606</v>
      </c>
      <c r="E8" s="46" t="s">
        <v>624</v>
      </c>
      <c r="F8" s="46" t="s">
        <v>625</v>
      </c>
      <c r="G8" s="45" t="s">
        <v>560</v>
      </c>
      <c r="H8" s="47">
        <v>0.8</v>
      </c>
      <c r="I8" s="45">
        <v>4</v>
      </c>
      <c r="J8" s="45">
        <v>2</v>
      </c>
      <c r="K8" s="48">
        <v>1.128688464581489</v>
      </c>
      <c r="L8" s="45" t="s">
        <v>599</v>
      </c>
      <c r="M8" s="45" t="s">
        <v>599</v>
      </c>
      <c r="N8" s="57" t="s">
        <v>599</v>
      </c>
      <c r="O8" s="45"/>
      <c r="P8" s="45"/>
      <c r="Q8" s="45"/>
      <c r="R8" s="50" t="s">
        <v>564</v>
      </c>
      <c r="S8" s="50" t="s">
        <v>626</v>
      </c>
      <c r="T8" s="51" t="s">
        <v>566</v>
      </c>
      <c r="U8" s="52" t="s">
        <v>567</v>
      </c>
      <c r="V8" s="52" t="s">
        <v>568</v>
      </c>
      <c r="W8" s="50" t="s">
        <v>569</v>
      </c>
      <c r="X8" s="50" t="s">
        <v>570</v>
      </c>
      <c r="Y8" s="50" t="s">
        <v>571</v>
      </c>
      <c r="Z8" s="50" t="s">
        <v>572</v>
      </c>
      <c r="AA8" s="50" t="s">
        <v>573</v>
      </c>
      <c r="AB8" s="53" t="s">
        <v>574</v>
      </c>
      <c r="AC8" s="50" t="s">
        <v>575</v>
      </c>
      <c r="AD8" s="54" t="s">
        <v>576</v>
      </c>
      <c r="AE8" s="50" t="s">
        <v>577</v>
      </c>
      <c r="AF8" s="50" t="s">
        <v>578</v>
      </c>
      <c r="AG8" s="50" t="s">
        <v>579</v>
      </c>
      <c r="AH8" s="55" t="s">
        <v>580</v>
      </c>
      <c r="AI8" s="56">
        <v>3135.3333333333298</v>
      </c>
    </row>
    <row r="9" spans="1:35" ht="93.6" x14ac:dyDescent="0.3">
      <c r="A9" s="45" t="s">
        <v>627</v>
      </c>
      <c r="B9" s="45" t="s">
        <v>628</v>
      </c>
      <c r="C9" s="45" t="s">
        <v>629</v>
      </c>
      <c r="D9" s="46" t="s">
        <v>584</v>
      </c>
      <c r="E9" s="46" t="s">
        <v>616</v>
      </c>
      <c r="F9" s="46" t="s">
        <v>617</v>
      </c>
      <c r="G9" s="45" t="s">
        <v>587</v>
      </c>
      <c r="H9" s="47">
        <v>0.77000000000000102</v>
      </c>
      <c r="I9" s="45">
        <v>4</v>
      </c>
      <c r="J9" s="45">
        <v>1</v>
      </c>
      <c r="K9" s="48">
        <v>0.3439251073755395</v>
      </c>
      <c r="L9" s="45" t="s">
        <v>599</v>
      </c>
      <c r="M9" s="45" t="s">
        <v>599</v>
      </c>
      <c r="N9" s="57" t="s">
        <v>599</v>
      </c>
      <c r="O9" s="45"/>
      <c r="P9" s="45"/>
      <c r="Q9" s="45"/>
      <c r="R9" s="50" t="s">
        <v>564</v>
      </c>
      <c r="S9" s="50" t="s">
        <v>630</v>
      </c>
      <c r="T9" s="51" t="s">
        <v>566</v>
      </c>
      <c r="U9" s="52" t="s">
        <v>567</v>
      </c>
      <c r="V9" s="52" t="s">
        <v>568</v>
      </c>
      <c r="W9" s="50" t="s">
        <v>569</v>
      </c>
      <c r="X9" s="50" t="s">
        <v>570</v>
      </c>
      <c r="Y9" s="50" t="s">
        <v>571</v>
      </c>
      <c r="Z9" s="50" t="s">
        <v>572</v>
      </c>
      <c r="AA9" s="50" t="s">
        <v>573</v>
      </c>
      <c r="AB9" s="53" t="s">
        <v>574</v>
      </c>
      <c r="AC9" s="50" t="s">
        <v>575</v>
      </c>
      <c r="AD9" s="54" t="s">
        <v>576</v>
      </c>
      <c r="AE9" s="50" t="s">
        <v>577</v>
      </c>
      <c r="AF9" s="50" t="s">
        <v>578</v>
      </c>
      <c r="AG9" s="50" t="s">
        <v>579</v>
      </c>
      <c r="AH9" s="55" t="s">
        <v>580</v>
      </c>
      <c r="AI9" s="56">
        <v>3337.3333333333298</v>
      </c>
    </row>
    <row r="10" spans="1:35" ht="93.6" x14ac:dyDescent="0.3">
      <c r="A10" s="45" t="s">
        <v>631</v>
      </c>
      <c r="B10" s="45" t="s">
        <v>632</v>
      </c>
      <c r="C10" s="45" t="s">
        <v>633</v>
      </c>
      <c r="D10" s="46" t="s">
        <v>606</v>
      </c>
      <c r="E10" s="46" t="s">
        <v>624</v>
      </c>
      <c r="F10" s="46" t="s">
        <v>625</v>
      </c>
      <c r="G10" s="45" t="s">
        <v>634</v>
      </c>
      <c r="H10" s="47">
        <v>0.74000000000000099</v>
      </c>
      <c r="I10" s="45">
        <v>2</v>
      </c>
      <c r="J10" s="45">
        <v>4</v>
      </c>
      <c r="K10" s="48">
        <v>0.31802572528922501</v>
      </c>
      <c r="L10" s="45">
        <v>2</v>
      </c>
      <c r="M10" s="45"/>
      <c r="N10" s="49">
        <v>-0.19982327134629421</v>
      </c>
      <c r="O10" s="45" t="s">
        <v>635</v>
      </c>
      <c r="P10" s="45" t="s">
        <v>636</v>
      </c>
      <c r="Q10" s="45" t="s">
        <v>637</v>
      </c>
      <c r="R10" s="50" t="s">
        <v>564</v>
      </c>
      <c r="S10" s="50" t="s">
        <v>638</v>
      </c>
      <c r="T10" s="51" t="s">
        <v>566</v>
      </c>
      <c r="U10" s="52" t="s">
        <v>567</v>
      </c>
      <c r="V10" s="52" t="s">
        <v>568</v>
      </c>
      <c r="W10" s="50" t="s">
        <v>569</v>
      </c>
      <c r="X10" s="50" t="s">
        <v>570</v>
      </c>
      <c r="Y10" s="50" t="s">
        <v>571</v>
      </c>
      <c r="Z10" s="50" t="s">
        <v>572</v>
      </c>
      <c r="AA10" s="50" t="s">
        <v>573</v>
      </c>
      <c r="AB10" s="53" t="s">
        <v>574</v>
      </c>
      <c r="AC10" s="50" t="s">
        <v>575</v>
      </c>
      <c r="AD10" s="54" t="s">
        <v>576</v>
      </c>
      <c r="AE10" s="50" t="s">
        <v>577</v>
      </c>
      <c r="AF10" s="50" t="s">
        <v>578</v>
      </c>
      <c r="AG10" s="50" t="s">
        <v>579</v>
      </c>
      <c r="AH10" s="55" t="s">
        <v>580</v>
      </c>
      <c r="AI10" s="56">
        <v>3539.3333333333298</v>
      </c>
    </row>
    <row r="11" spans="1:35" ht="93.6" x14ac:dyDescent="0.3">
      <c r="A11" s="45" t="s">
        <v>639</v>
      </c>
      <c r="B11" s="45" t="s">
        <v>640</v>
      </c>
      <c r="C11" s="45" t="s">
        <v>641</v>
      </c>
      <c r="D11" s="46" t="s">
        <v>606</v>
      </c>
      <c r="E11" s="46" t="s">
        <v>607</v>
      </c>
      <c r="F11" s="46" t="s">
        <v>608</v>
      </c>
      <c r="G11" s="45" t="s">
        <v>642</v>
      </c>
      <c r="H11" s="47">
        <v>0.71000000000000096</v>
      </c>
      <c r="I11" s="45">
        <v>1</v>
      </c>
      <c r="J11" s="45">
        <v>4</v>
      </c>
      <c r="K11" s="48">
        <v>-1.090867296584869E-2</v>
      </c>
      <c r="L11" s="45">
        <v>3</v>
      </c>
      <c r="M11" s="45"/>
      <c r="N11" s="49">
        <v>-0.2902329226081416</v>
      </c>
      <c r="O11" s="45"/>
      <c r="P11" s="45"/>
      <c r="Q11" s="45"/>
      <c r="R11" s="50" t="s">
        <v>564</v>
      </c>
      <c r="S11" s="50" t="s">
        <v>643</v>
      </c>
      <c r="T11" s="51" t="s">
        <v>566</v>
      </c>
      <c r="U11" s="52" t="s">
        <v>567</v>
      </c>
      <c r="V11" s="52" t="s">
        <v>568</v>
      </c>
      <c r="W11" s="50" t="s">
        <v>569</v>
      </c>
      <c r="X11" s="50" t="s">
        <v>570</v>
      </c>
      <c r="Y11" s="50" t="s">
        <v>571</v>
      </c>
      <c r="Z11" s="50" t="s">
        <v>572</v>
      </c>
      <c r="AA11" s="50" t="s">
        <v>573</v>
      </c>
      <c r="AB11" s="53" t="s">
        <v>574</v>
      </c>
      <c r="AC11" s="50" t="s">
        <v>575</v>
      </c>
      <c r="AD11" s="54" t="s">
        <v>576</v>
      </c>
      <c r="AE11" s="50" t="s">
        <v>577</v>
      </c>
      <c r="AF11" s="50" t="s">
        <v>578</v>
      </c>
      <c r="AG11" s="50" t="s">
        <v>579</v>
      </c>
      <c r="AH11" s="55" t="s">
        <v>580</v>
      </c>
      <c r="AI11" s="56">
        <v>3741.3333333333298</v>
      </c>
    </row>
    <row r="12" spans="1:35" ht="93.6" x14ac:dyDescent="0.3">
      <c r="A12" s="45" t="s">
        <v>644</v>
      </c>
      <c r="B12" s="45" t="s">
        <v>645</v>
      </c>
      <c r="C12" s="45" t="s">
        <v>646</v>
      </c>
      <c r="D12" s="46" t="s">
        <v>584</v>
      </c>
      <c r="E12" s="46" t="s">
        <v>616</v>
      </c>
      <c r="F12" s="46" t="s">
        <v>617</v>
      </c>
      <c r="G12" s="45" t="s">
        <v>560</v>
      </c>
      <c r="H12" s="47">
        <v>0.68000000000000105</v>
      </c>
      <c r="I12" s="45">
        <v>3</v>
      </c>
      <c r="J12" s="45">
        <v>3</v>
      </c>
      <c r="K12" s="48">
        <v>-1.1085532666666341E-2</v>
      </c>
      <c r="L12" s="45">
        <v>4</v>
      </c>
      <c r="M12" s="45"/>
      <c r="N12" s="49">
        <v>-0.32949355807964509</v>
      </c>
      <c r="O12" s="45" t="s">
        <v>647</v>
      </c>
      <c r="P12" s="45" t="s">
        <v>648</v>
      </c>
      <c r="Q12" s="45" t="s">
        <v>649</v>
      </c>
      <c r="R12" s="50" t="s">
        <v>564</v>
      </c>
      <c r="S12" s="50" t="s">
        <v>650</v>
      </c>
      <c r="T12" s="51" t="s">
        <v>566</v>
      </c>
      <c r="U12" s="52" t="s">
        <v>567</v>
      </c>
      <c r="V12" s="52" t="s">
        <v>568</v>
      </c>
      <c r="W12" s="50" t="s">
        <v>569</v>
      </c>
      <c r="X12" s="50" t="s">
        <v>570</v>
      </c>
      <c r="Y12" s="50" t="s">
        <v>571</v>
      </c>
      <c r="Z12" s="50" t="s">
        <v>572</v>
      </c>
      <c r="AA12" s="50" t="s">
        <v>573</v>
      </c>
      <c r="AB12" s="53" t="s">
        <v>574</v>
      </c>
      <c r="AC12" s="50" t="s">
        <v>575</v>
      </c>
      <c r="AD12" s="54" t="s">
        <v>576</v>
      </c>
      <c r="AE12" s="50" t="s">
        <v>577</v>
      </c>
      <c r="AF12" s="50" t="s">
        <v>578</v>
      </c>
      <c r="AG12" s="50" t="s">
        <v>579</v>
      </c>
      <c r="AH12" s="55" t="s">
        <v>580</v>
      </c>
      <c r="AI12" s="56">
        <v>3943.3333333333298</v>
      </c>
    </row>
    <row r="13" spans="1:35" ht="93.6" x14ac:dyDescent="0.3">
      <c r="A13" s="45" t="s">
        <v>651</v>
      </c>
      <c r="B13" s="45" t="s">
        <v>652</v>
      </c>
      <c r="C13" s="45" t="s">
        <v>653</v>
      </c>
      <c r="D13" s="46" t="s">
        <v>606</v>
      </c>
      <c r="E13" s="46" t="s">
        <v>624</v>
      </c>
      <c r="F13" s="46" t="s">
        <v>625</v>
      </c>
      <c r="G13" s="45" t="s">
        <v>560</v>
      </c>
      <c r="H13" s="47">
        <v>0.65000000000000102</v>
      </c>
      <c r="I13" s="45">
        <v>3</v>
      </c>
      <c r="J13" s="45">
        <v>3</v>
      </c>
      <c r="K13" s="48">
        <v>-1.7507848334213399E-2</v>
      </c>
      <c r="L13" s="45">
        <v>1</v>
      </c>
      <c r="M13" s="45"/>
      <c r="N13" s="49">
        <v>-1.7507848334213399E-2</v>
      </c>
      <c r="O13" s="45" t="s">
        <v>654</v>
      </c>
      <c r="P13" s="45" t="s">
        <v>655</v>
      </c>
      <c r="Q13" s="45" t="s">
        <v>656</v>
      </c>
      <c r="R13" s="50" t="s">
        <v>564</v>
      </c>
      <c r="S13" s="50" t="s">
        <v>657</v>
      </c>
      <c r="T13" s="51" t="s">
        <v>566</v>
      </c>
      <c r="U13" s="52" t="s">
        <v>567</v>
      </c>
      <c r="V13" s="52" t="s">
        <v>568</v>
      </c>
      <c r="W13" s="50" t="s">
        <v>569</v>
      </c>
      <c r="X13" s="50" t="s">
        <v>570</v>
      </c>
      <c r="Y13" s="50" t="s">
        <v>571</v>
      </c>
      <c r="Z13" s="50" t="s">
        <v>572</v>
      </c>
      <c r="AA13" s="50" t="s">
        <v>573</v>
      </c>
      <c r="AB13" s="53" t="s">
        <v>574</v>
      </c>
      <c r="AC13" s="50" t="s">
        <v>575</v>
      </c>
      <c r="AD13" s="54" t="s">
        <v>576</v>
      </c>
      <c r="AE13" s="50" t="s">
        <v>577</v>
      </c>
      <c r="AF13" s="50" t="s">
        <v>578</v>
      </c>
      <c r="AG13" s="50" t="s">
        <v>579</v>
      </c>
      <c r="AH13" s="55" t="s">
        <v>580</v>
      </c>
      <c r="AI13" s="56">
        <v>4145.3333333333303</v>
      </c>
    </row>
    <row r="14" spans="1:35" ht="93.6" x14ac:dyDescent="0.3">
      <c r="A14" s="45" t="s">
        <v>658</v>
      </c>
      <c r="B14" s="45" t="s">
        <v>659</v>
      </c>
      <c r="C14" s="45" t="s">
        <v>660</v>
      </c>
      <c r="D14" s="46" t="s">
        <v>557</v>
      </c>
      <c r="E14" s="46" t="s">
        <v>558</v>
      </c>
      <c r="F14" s="46" t="s">
        <v>559</v>
      </c>
      <c r="G14" s="45" t="s">
        <v>560</v>
      </c>
      <c r="H14" s="47">
        <v>0.62000000000000099</v>
      </c>
      <c r="I14" s="45">
        <v>2</v>
      </c>
      <c r="J14" s="45">
        <v>3</v>
      </c>
      <c r="K14" s="48">
        <v>-5.95878508770189E-2</v>
      </c>
      <c r="L14" s="45">
        <v>3</v>
      </c>
      <c r="M14" s="45"/>
      <c r="N14" s="49">
        <v>-5.95878508770189E-2</v>
      </c>
      <c r="O14" s="45" t="s">
        <v>661</v>
      </c>
      <c r="P14" s="45" t="s">
        <v>662</v>
      </c>
      <c r="Q14" s="45" t="s">
        <v>663</v>
      </c>
      <c r="R14" s="50" t="s">
        <v>564</v>
      </c>
      <c r="S14" s="50" t="s">
        <v>664</v>
      </c>
      <c r="T14" s="51" t="s">
        <v>566</v>
      </c>
      <c r="U14" s="52" t="s">
        <v>567</v>
      </c>
      <c r="V14" s="52" t="s">
        <v>568</v>
      </c>
      <c r="W14" s="50" t="s">
        <v>569</v>
      </c>
      <c r="X14" s="50" t="s">
        <v>570</v>
      </c>
      <c r="Y14" s="50" t="s">
        <v>571</v>
      </c>
      <c r="Z14" s="50" t="s">
        <v>572</v>
      </c>
      <c r="AA14" s="50" t="s">
        <v>573</v>
      </c>
      <c r="AB14" s="53" t="s">
        <v>574</v>
      </c>
      <c r="AC14" s="50" t="s">
        <v>575</v>
      </c>
      <c r="AD14" s="54" t="s">
        <v>576</v>
      </c>
      <c r="AE14" s="50" t="s">
        <v>577</v>
      </c>
      <c r="AF14" s="50" t="s">
        <v>578</v>
      </c>
      <c r="AG14" s="50" t="s">
        <v>579</v>
      </c>
      <c r="AH14" s="55" t="s">
        <v>580</v>
      </c>
      <c r="AI14" s="56">
        <v>4347.3333333333303</v>
      </c>
    </row>
    <row r="15" spans="1:35" ht="93.6" x14ac:dyDescent="0.3">
      <c r="A15" s="45" t="s">
        <v>665</v>
      </c>
      <c r="B15" s="45" t="s">
        <v>666</v>
      </c>
      <c r="C15" s="45" t="s">
        <v>667</v>
      </c>
      <c r="D15" s="46" t="s">
        <v>584</v>
      </c>
      <c r="E15" s="46" t="s">
        <v>585</v>
      </c>
      <c r="F15" s="46" t="s">
        <v>586</v>
      </c>
      <c r="G15" s="45" t="s">
        <v>668</v>
      </c>
      <c r="H15" s="47">
        <v>0.59000000000000097</v>
      </c>
      <c r="I15" s="45">
        <v>1</v>
      </c>
      <c r="J15" s="45">
        <v>3</v>
      </c>
      <c r="K15" s="48">
        <v>-7.82288509847614E-2</v>
      </c>
      <c r="L15" s="45">
        <v>1</v>
      </c>
      <c r="M15" s="45"/>
      <c r="N15" s="49">
        <v>-7.82288509847614E-2</v>
      </c>
      <c r="O15" s="45" t="s">
        <v>669</v>
      </c>
      <c r="P15" s="45" t="s">
        <v>670</v>
      </c>
      <c r="Q15" s="45" t="s">
        <v>671</v>
      </c>
      <c r="R15" s="50" t="s">
        <v>564</v>
      </c>
      <c r="S15" s="50" t="s">
        <v>672</v>
      </c>
      <c r="T15" s="51" t="s">
        <v>566</v>
      </c>
      <c r="U15" s="52" t="s">
        <v>567</v>
      </c>
      <c r="V15" s="52" t="s">
        <v>568</v>
      </c>
      <c r="W15" s="50" t="s">
        <v>569</v>
      </c>
      <c r="X15" s="50" t="s">
        <v>570</v>
      </c>
      <c r="Y15" s="50" t="s">
        <v>571</v>
      </c>
      <c r="Z15" s="50" t="s">
        <v>572</v>
      </c>
      <c r="AA15" s="50" t="s">
        <v>573</v>
      </c>
      <c r="AB15" s="53" t="s">
        <v>574</v>
      </c>
      <c r="AC15" s="50" t="s">
        <v>575</v>
      </c>
      <c r="AD15" s="54" t="s">
        <v>576</v>
      </c>
      <c r="AE15" s="50" t="s">
        <v>577</v>
      </c>
      <c r="AF15" s="50" t="s">
        <v>578</v>
      </c>
      <c r="AG15" s="50" t="s">
        <v>579</v>
      </c>
      <c r="AH15" s="55" t="s">
        <v>580</v>
      </c>
      <c r="AI15" s="56">
        <v>4549.3333333333303</v>
      </c>
    </row>
    <row r="16" spans="1:35" ht="93.6" x14ac:dyDescent="0.3">
      <c r="A16" s="45" t="s">
        <v>673</v>
      </c>
      <c r="B16" s="45" t="s">
        <v>674</v>
      </c>
      <c r="C16" s="45" t="s">
        <v>675</v>
      </c>
      <c r="D16" s="46" t="s">
        <v>606</v>
      </c>
      <c r="E16" s="46" t="s">
        <v>607</v>
      </c>
      <c r="F16" s="46" t="s">
        <v>608</v>
      </c>
      <c r="G16" s="45" t="s">
        <v>560</v>
      </c>
      <c r="H16" s="47">
        <v>0.56000000000000105</v>
      </c>
      <c r="I16" s="45">
        <v>3</v>
      </c>
      <c r="J16" s="45">
        <v>2</v>
      </c>
      <c r="K16" s="48">
        <v>-0.19982327134629421</v>
      </c>
      <c r="L16" s="45" t="s">
        <v>599</v>
      </c>
      <c r="M16" s="45" t="s">
        <v>599</v>
      </c>
      <c r="N16" s="57" t="s">
        <v>599</v>
      </c>
      <c r="O16" s="45" t="s">
        <v>676</v>
      </c>
      <c r="P16" s="45" t="s">
        <v>677</v>
      </c>
      <c r="Q16" s="45" t="s">
        <v>678</v>
      </c>
      <c r="R16" s="50" t="s">
        <v>564</v>
      </c>
      <c r="S16" s="50" t="s">
        <v>679</v>
      </c>
      <c r="T16" s="51" t="s">
        <v>566</v>
      </c>
      <c r="U16" s="52" t="s">
        <v>567</v>
      </c>
      <c r="V16" s="52" t="s">
        <v>568</v>
      </c>
      <c r="W16" s="50" t="s">
        <v>569</v>
      </c>
      <c r="X16" s="50" t="s">
        <v>570</v>
      </c>
      <c r="Y16" s="50" t="s">
        <v>571</v>
      </c>
      <c r="Z16" s="50" t="s">
        <v>572</v>
      </c>
      <c r="AA16" s="50" t="s">
        <v>573</v>
      </c>
      <c r="AB16" s="53" t="s">
        <v>574</v>
      </c>
      <c r="AC16" s="50" t="s">
        <v>575</v>
      </c>
      <c r="AD16" s="54" t="s">
        <v>576</v>
      </c>
      <c r="AE16" s="50" t="s">
        <v>577</v>
      </c>
      <c r="AF16" s="50" t="s">
        <v>578</v>
      </c>
      <c r="AG16" s="50" t="s">
        <v>579</v>
      </c>
      <c r="AH16" s="55" t="s">
        <v>580</v>
      </c>
      <c r="AI16" s="56">
        <v>4751.3333333333303</v>
      </c>
    </row>
    <row r="17" spans="1:35" ht="93.6" x14ac:dyDescent="0.3">
      <c r="A17" s="45" t="s">
        <v>680</v>
      </c>
      <c r="B17" s="45" t="s">
        <v>681</v>
      </c>
      <c r="C17" s="45" t="s">
        <v>682</v>
      </c>
      <c r="D17" s="46" t="s">
        <v>683</v>
      </c>
      <c r="E17" s="46" t="s">
        <v>684</v>
      </c>
      <c r="F17" s="46" t="s">
        <v>685</v>
      </c>
      <c r="G17" s="45" t="s">
        <v>560</v>
      </c>
      <c r="H17" s="47">
        <v>0.53000000000000103</v>
      </c>
      <c r="I17" s="45">
        <v>3</v>
      </c>
      <c r="J17" s="45">
        <v>1</v>
      </c>
      <c r="K17" s="48">
        <v>-0.2902329226081416</v>
      </c>
      <c r="L17" s="45" t="s">
        <v>599</v>
      </c>
      <c r="M17" s="45" t="s">
        <v>599</v>
      </c>
      <c r="N17" s="57" t="s">
        <v>599</v>
      </c>
      <c r="O17" s="45" t="s">
        <v>686</v>
      </c>
      <c r="P17" s="45" t="s">
        <v>687</v>
      </c>
      <c r="Q17" s="45" t="s">
        <v>688</v>
      </c>
      <c r="R17" s="50" t="s">
        <v>564</v>
      </c>
      <c r="S17" s="50" t="s">
        <v>689</v>
      </c>
      <c r="T17" s="51" t="s">
        <v>566</v>
      </c>
      <c r="U17" s="52" t="s">
        <v>567</v>
      </c>
      <c r="V17" s="52" t="s">
        <v>568</v>
      </c>
      <c r="W17" s="50" t="s">
        <v>569</v>
      </c>
      <c r="X17" s="50" t="s">
        <v>570</v>
      </c>
      <c r="Y17" s="50" t="s">
        <v>571</v>
      </c>
      <c r="Z17" s="50" t="s">
        <v>572</v>
      </c>
      <c r="AA17" s="50" t="s">
        <v>573</v>
      </c>
      <c r="AB17" s="53" t="s">
        <v>574</v>
      </c>
      <c r="AC17" s="50" t="s">
        <v>575</v>
      </c>
      <c r="AD17" s="54" t="s">
        <v>576</v>
      </c>
      <c r="AE17" s="50" t="s">
        <v>577</v>
      </c>
      <c r="AF17" s="50" t="s">
        <v>578</v>
      </c>
      <c r="AG17" s="50" t="s">
        <v>579</v>
      </c>
      <c r="AH17" s="55" t="s">
        <v>580</v>
      </c>
      <c r="AI17" s="56">
        <v>4953.3333333333303</v>
      </c>
    </row>
    <row r="18" spans="1:35" ht="93.6" x14ac:dyDescent="0.3">
      <c r="A18" s="45" t="s">
        <v>690</v>
      </c>
      <c r="B18" s="45" t="s">
        <v>691</v>
      </c>
      <c r="C18" s="45" t="s">
        <v>692</v>
      </c>
      <c r="D18" s="46" t="s">
        <v>683</v>
      </c>
      <c r="E18" s="46" t="s">
        <v>684</v>
      </c>
      <c r="F18" s="46" t="s">
        <v>685</v>
      </c>
      <c r="G18" s="45" t="s">
        <v>560</v>
      </c>
      <c r="H18" s="47">
        <v>0.500000000000001</v>
      </c>
      <c r="I18" s="45">
        <v>2</v>
      </c>
      <c r="J18" s="45">
        <v>1</v>
      </c>
      <c r="K18" s="48">
        <v>-0.32949355807964509</v>
      </c>
      <c r="L18" s="45" t="s">
        <v>599</v>
      </c>
      <c r="M18" s="45" t="s">
        <v>599</v>
      </c>
      <c r="N18" s="57" t="s">
        <v>599</v>
      </c>
      <c r="O18" s="45" t="s">
        <v>693</v>
      </c>
      <c r="P18" s="45" t="s">
        <v>694</v>
      </c>
      <c r="Q18" s="45" t="s">
        <v>695</v>
      </c>
      <c r="R18" s="50" t="s">
        <v>564</v>
      </c>
      <c r="S18" s="50" t="s">
        <v>696</v>
      </c>
      <c r="T18" s="51" t="s">
        <v>566</v>
      </c>
      <c r="U18" s="52" t="s">
        <v>567</v>
      </c>
      <c r="V18" s="52" t="s">
        <v>568</v>
      </c>
      <c r="W18" s="50" t="s">
        <v>569</v>
      </c>
      <c r="X18" s="50" t="s">
        <v>570</v>
      </c>
      <c r="Y18" s="50" t="s">
        <v>571</v>
      </c>
      <c r="Z18" s="50" t="s">
        <v>572</v>
      </c>
      <c r="AA18" s="50" t="s">
        <v>573</v>
      </c>
      <c r="AB18" s="53" t="s">
        <v>574</v>
      </c>
      <c r="AC18" s="50" t="s">
        <v>575</v>
      </c>
      <c r="AD18" s="54" t="s">
        <v>576</v>
      </c>
      <c r="AE18" s="50" t="s">
        <v>577</v>
      </c>
      <c r="AF18" s="50" t="s">
        <v>578</v>
      </c>
      <c r="AG18" s="50" t="s">
        <v>579</v>
      </c>
      <c r="AH18" s="55" t="s">
        <v>580</v>
      </c>
      <c r="AI18" s="56">
        <v>5155.3333333333303</v>
      </c>
    </row>
    <row r="19" spans="1:35" ht="93.6" x14ac:dyDescent="0.3">
      <c r="A19" s="45" t="s">
        <v>697</v>
      </c>
      <c r="B19" s="45" t="s">
        <v>698</v>
      </c>
      <c r="C19" s="45" t="s">
        <v>699</v>
      </c>
      <c r="D19" s="46" t="s">
        <v>606</v>
      </c>
      <c r="E19" s="46" t="s">
        <v>607</v>
      </c>
      <c r="F19" s="46" t="s">
        <v>608</v>
      </c>
      <c r="G19" s="45" t="s">
        <v>560</v>
      </c>
      <c r="H19" s="47">
        <v>0.47000000000000097</v>
      </c>
      <c r="I19" s="45">
        <v>1</v>
      </c>
      <c r="J19" s="45">
        <v>1</v>
      </c>
      <c r="K19" s="48">
        <v>-0.34219644483129741</v>
      </c>
      <c r="L19" s="45">
        <v>1</v>
      </c>
      <c r="M19" s="45"/>
      <c r="N19" s="49">
        <v>-0.34219644483129741</v>
      </c>
      <c r="O19" s="45"/>
      <c r="P19" s="45" t="s">
        <v>700</v>
      </c>
      <c r="Q19" s="45"/>
      <c r="R19" s="50" t="s">
        <v>564</v>
      </c>
      <c r="S19" s="50" t="s">
        <v>701</v>
      </c>
      <c r="T19" s="51" t="s">
        <v>566</v>
      </c>
      <c r="U19" s="52" t="s">
        <v>567</v>
      </c>
      <c r="V19" s="52" t="s">
        <v>568</v>
      </c>
      <c r="W19" s="50" t="s">
        <v>569</v>
      </c>
      <c r="X19" s="50" t="s">
        <v>570</v>
      </c>
      <c r="Y19" s="50" t="s">
        <v>571</v>
      </c>
      <c r="Z19" s="50" t="s">
        <v>572</v>
      </c>
      <c r="AA19" s="50" t="s">
        <v>573</v>
      </c>
      <c r="AB19" s="53" t="s">
        <v>574</v>
      </c>
      <c r="AC19" s="50" t="s">
        <v>575</v>
      </c>
      <c r="AD19" s="54" t="s">
        <v>576</v>
      </c>
      <c r="AE19" s="50" t="s">
        <v>577</v>
      </c>
      <c r="AF19" s="50" t="s">
        <v>578</v>
      </c>
      <c r="AG19" s="50" t="s">
        <v>579</v>
      </c>
      <c r="AH19" s="55" t="s">
        <v>580</v>
      </c>
      <c r="AI19" s="56">
        <v>5357.3333333333303</v>
      </c>
    </row>
    <row r="20" spans="1:35" ht="93.6" x14ac:dyDescent="0.3">
      <c r="A20" s="45" t="s">
        <v>702</v>
      </c>
      <c r="B20" s="45" t="s">
        <v>703</v>
      </c>
      <c r="C20" s="45" t="s">
        <v>704</v>
      </c>
      <c r="D20" s="46" t="s">
        <v>584</v>
      </c>
      <c r="E20" s="46" t="s">
        <v>616</v>
      </c>
      <c r="F20" s="46" t="s">
        <v>617</v>
      </c>
      <c r="G20" s="45" t="s">
        <v>560</v>
      </c>
      <c r="H20" s="47">
        <v>0.440000000000001</v>
      </c>
      <c r="I20" s="45">
        <v>1</v>
      </c>
      <c r="J20" s="45">
        <v>1</v>
      </c>
      <c r="K20" s="48">
        <v>-0.34222909656547063</v>
      </c>
      <c r="L20" s="45">
        <v>2</v>
      </c>
      <c r="M20" s="45"/>
      <c r="N20" s="49">
        <v>-0.34222909656547063</v>
      </c>
      <c r="O20" s="45" t="s">
        <v>705</v>
      </c>
      <c r="P20" s="45" t="s">
        <v>706</v>
      </c>
      <c r="Q20" s="45" t="s">
        <v>707</v>
      </c>
      <c r="R20" s="50" t="s">
        <v>564</v>
      </c>
      <c r="S20" s="50" t="s">
        <v>708</v>
      </c>
      <c r="T20" s="51" t="s">
        <v>566</v>
      </c>
      <c r="U20" s="52" t="s">
        <v>567</v>
      </c>
      <c r="V20" s="52" t="s">
        <v>568</v>
      </c>
      <c r="W20" s="50" t="s">
        <v>569</v>
      </c>
      <c r="X20" s="50" t="s">
        <v>570</v>
      </c>
      <c r="Y20" s="50" t="s">
        <v>571</v>
      </c>
      <c r="Z20" s="50" t="s">
        <v>572</v>
      </c>
      <c r="AA20" s="50" t="s">
        <v>573</v>
      </c>
      <c r="AB20" s="53" t="s">
        <v>574</v>
      </c>
      <c r="AC20" s="50" t="s">
        <v>575</v>
      </c>
      <c r="AD20" s="54" t="s">
        <v>576</v>
      </c>
      <c r="AE20" s="50" t="s">
        <v>577</v>
      </c>
      <c r="AF20" s="50" t="s">
        <v>578</v>
      </c>
      <c r="AG20" s="50" t="s">
        <v>579</v>
      </c>
      <c r="AH20" s="55" t="s">
        <v>580</v>
      </c>
      <c r="AI20" s="56">
        <v>5559.3333333333303</v>
      </c>
    </row>
    <row r="21" spans="1:35" ht="93.6" x14ac:dyDescent="0.3">
      <c r="A21" s="45" t="s">
        <v>709</v>
      </c>
      <c r="B21" s="45" t="s">
        <v>710</v>
      </c>
      <c r="C21" s="45" t="s">
        <v>711</v>
      </c>
      <c r="D21" s="46" t="s">
        <v>606</v>
      </c>
      <c r="E21" s="46" t="s">
        <v>624</v>
      </c>
      <c r="F21" s="46" t="s">
        <v>625</v>
      </c>
      <c r="G21" s="45" t="s">
        <v>587</v>
      </c>
      <c r="H21" s="47">
        <v>0.41000000000000197</v>
      </c>
      <c r="I21" s="45">
        <v>1</v>
      </c>
      <c r="J21" s="45">
        <v>1</v>
      </c>
      <c r="K21" s="48">
        <v>-1.25318889368</v>
      </c>
      <c r="L21" s="45">
        <v>4</v>
      </c>
      <c r="M21" s="45"/>
      <c r="N21" s="49">
        <v>-1.25318889368</v>
      </c>
      <c r="O21" s="45" t="s">
        <v>712</v>
      </c>
      <c r="P21" s="45" t="s">
        <v>713</v>
      </c>
      <c r="Q21" s="45" t="s">
        <v>714</v>
      </c>
      <c r="R21" s="50" t="s">
        <v>564</v>
      </c>
      <c r="S21" s="50" t="s">
        <v>715</v>
      </c>
      <c r="T21" s="51" t="s">
        <v>566</v>
      </c>
      <c r="U21" s="52" t="s">
        <v>567</v>
      </c>
      <c r="V21" s="52" t="s">
        <v>568</v>
      </c>
      <c r="W21" s="50" t="s">
        <v>569</v>
      </c>
      <c r="X21" s="50" t="s">
        <v>570</v>
      </c>
      <c r="Y21" s="50" t="s">
        <v>571</v>
      </c>
      <c r="Z21" s="50" t="s">
        <v>572</v>
      </c>
      <c r="AA21" s="50" t="s">
        <v>573</v>
      </c>
      <c r="AB21" s="53" t="s">
        <v>574</v>
      </c>
      <c r="AC21" s="50" t="s">
        <v>575</v>
      </c>
      <c r="AD21" s="54" t="s">
        <v>576</v>
      </c>
      <c r="AE21" s="50" t="s">
        <v>577</v>
      </c>
      <c r="AF21" s="50" t="s">
        <v>578</v>
      </c>
      <c r="AG21" s="50" t="s">
        <v>579</v>
      </c>
      <c r="AH21" s="55" t="s">
        <v>580</v>
      </c>
      <c r="AI21" s="56">
        <v>5761.3333333333303</v>
      </c>
    </row>
    <row r="22" spans="1:35" ht="93.6" x14ac:dyDescent="0.3">
      <c r="A22" s="45" t="s">
        <v>716</v>
      </c>
      <c r="B22" s="45" t="s">
        <v>717</v>
      </c>
      <c r="C22" s="45" t="s">
        <v>718</v>
      </c>
      <c r="D22" s="46" t="s">
        <v>595</v>
      </c>
      <c r="E22" s="46" t="s">
        <v>596</v>
      </c>
      <c r="F22" s="46" t="s">
        <v>597</v>
      </c>
      <c r="G22" s="45" t="s">
        <v>587</v>
      </c>
      <c r="H22" s="47">
        <v>0.380000000000002</v>
      </c>
      <c r="I22" s="45">
        <v>1</v>
      </c>
      <c r="J22" s="45">
        <v>1</v>
      </c>
      <c r="K22" s="48">
        <v>-3</v>
      </c>
      <c r="L22" s="45" t="s">
        <v>599</v>
      </c>
      <c r="M22" s="45" t="s">
        <v>599</v>
      </c>
      <c r="N22" s="57" t="s">
        <v>599</v>
      </c>
      <c r="O22" s="45"/>
      <c r="P22" s="45"/>
      <c r="Q22" s="45"/>
      <c r="R22" s="50" t="s">
        <v>564</v>
      </c>
      <c r="S22" s="50" t="s">
        <v>719</v>
      </c>
      <c r="T22" s="51" t="s">
        <v>566</v>
      </c>
      <c r="U22" s="52" t="s">
        <v>567</v>
      </c>
      <c r="V22" s="52" t="s">
        <v>568</v>
      </c>
      <c r="W22" s="50" t="s">
        <v>569</v>
      </c>
      <c r="X22" s="50" t="s">
        <v>570</v>
      </c>
      <c r="Y22" s="50" t="s">
        <v>571</v>
      </c>
      <c r="Z22" s="50" t="s">
        <v>572</v>
      </c>
      <c r="AA22" s="50" t="s">
        <v>573</v>
      </c>
      <c r="AB22" s="53" t="s">
        <v>574</v>
      </c>
      <c r="AC22" s="50" t="s">
        <v>575</v>
      </c>
      <c r="AD22" s="54" t="s">
        <v>576</v>
      </c>
      <c r="AE22" s="50" t="s">
        <v>577</v>
      </c>
      <c r="AF22" s="50" t="s">
        <v>578</v>
      </c>
      <c r="AG22" s="50" t="s">
        <v>579</v>
      </c>
      <c r="AH22" s="55" t="s">
        <v>580</v>
      </c>
      <c r="AI22" s="56">
        <v>5963.3333333333303</v>
      </c>
    </row>
    <row r="23" spans="1:35" ht="93.6" x14ac:dyDescent="0.3">
      <c r="A23" s="45" t="s">
        <v>720</v>
      </c>
      <c r="B23" s="45" t="s">
        <v>721</v>
      </c>
      <c r="C23" s="45" t="s">
        <v>722</v>
      </c>
      <c r="D23" s="46" t="s">
        <v>557</v>
      </c>
      <c r="E23" s="46" t="s">
        <v>558</v>
      </c>
      <c r="F23" s="46" t="s">
        <v>559</v>
      </c>
      <c r="G23" s="45" t="s">
        <v>587</v>
      </c>
      <c r="H23" s="47">
        <v>0.35000000000000198</v>
      </c>
      <c r="I23" s="45">
        <v>1</v>
      </c>
      <c r="J23" s="45">
        <v>1</v>
      </c>
      <c r="K23" s="48">
        <v>-3</v>
      </c>
      <c r="L23" s="58">
        <v>3</v>
      </c>
      <c r="M23" s="58"/>
      <c r="N23" s="49">
        <v>-3</v>
      </c>
      <c r="O23" s="58" t="s">
        <v>723</v>
      </c>
      <c r="P23" s="58" t="s">
        <v>724</v>
      </c>
      <c r="Q23" s="58" t="s">
        <v>725</v>
      </c>
      <c r="R23" s="50" t="s">
        <v>564</v>
      </c>
      <c r="S23" s="50" t="s">
        <v>726</v>
      </c>
      <c r="T23" s="51" t="s">
        <v>566</v>
      </c>
      <c r="U23" s="52" t="s">
        <v>567</v>
      </c>
      <c r="V23" s="52" t="s">
        <v>568</v>
      </c>
      <c r="W23" s="50" t="s">
        <v>569</v>
      </c>
      <c r="X23" s="50" t="s">
        <v>570</v>
      </c>
      <c r="Y23" s="50" t="s">
        <v>571</v>
      </c>
      <c r="Z23" s="50" t="s">
        <v>572</v>
      </c>
      <c r="AA23" s="50" t="s">
        <v>573</v>
      </c>
      <c r="AB23" s="53" t="s">
        <v>574</v>
      </c>
      <c r="AC23" s="50" t="s">
        <v>575</v>
      </c>
      <c r="AD23" s="54" t="s">
        <v>576</v>
      </c>
      <c r="AE23" s="50" t="s">
        <v>577</v>
      </c>
      <c r="AF23" s="50" t="s">
        <v>578</v>
      </c>
      <c r="AG23" s="50" t="s">
        <v>579</v>
      </c>
      <c r="AH23" s="55" t="s">
        <v>580</v>
      </c>
      <c r="AI23" s="56">
        <v>6165.3333333333303</v>
      </c>
    </row>
    <row r="24" spans="1:35" x14ac:dyDescent="0.3">
      <c r="H24" s="59"/>
      <c r="L24" s="60"/>
      <c r="M24" s="60"/>
      <c r="N24" s="60"/>
      <c r="O24" s="60"/>
      <c r="P24" s="60"/>
      <c r="Q24" s="60"/>
    </row>
    <row r="25" spans="1:35" x14ac:dyDescent="0.3">
      <c r="H25" s="59"/>
      <c r="L25" s="14"/>
      <c r="M25" s="14"/>
      <c r="N25" s="14"/>
      <c r="O25" s="14"/>
      <c r="P25" s="14"/>
      <c r="Q25" s="14"/>
    </row>
    <row r="26" spans="1:35" x14ac:dyDescent="0.3">
      <c r="H26" s="59"/>
      <c r="L26" s="14"/>
      <c r="M26" s="14"/>
      <c r="N26" s="14"/>
      <c r="O26" s="14"/>
      <c r="P26" s="14"/>
      <c r="Q26" s="14"/>
    </row>
    <row r="27" spans="1:35" x14ac:dyDescent="0.3">
      <c r="H27" s="59"/>
      <c r="L27" s="14"/>
      <c r="M27" s="14"/>
      <c r="N27" s="14"/>
      <c r="O27" s="14"/>
      <c r="P27" s="14"/>
      <c r="Q27" s="14"/>
    </row>
    <row r="28" spans="1:35" x14ac:dyDescent="0.3">
      <c r="H28" s="59"/>
      <c r="L28" s="14"/>
      <c r="M28" s="14"/>
      <c r="N28" s="14"/>
      <c r="O28" s="14"/>
      <c r="P28" s="14"/>
      <c r="Q28" s="14"/>
    </row>
    <row r="29" spans="1:35" x14ac:dyDescent="0.3">
      <c r="H29" s="14"/>
      <c r="L29" s="14"/>
      <c r="M29" s="14"/>
      <c r="N29" s="14"/>
      <c r="O29" s="14"/>
      <c r="P29" s="14"/>
      <c r="Q29" s="14"/>
    </row>
  </sheetData>
  <mergeCells count="10">
    <mergeCell ref="G1:G2"/>
    <mergeCell ref="I1:K1"/>
    <mergeCell ref="L1:N1"/>
    <mergeCell ref="O1:Q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6"/>
  <sheetViews>
    <sheetView topLeftCell="A10" workbookViewId="0">
      <selection activeCell="B29" sqref="B29"/>
    </sheetView>
  </sheetViews>
  <sheetFormatPr defaultRowHeight="14.4" x14ac:dyDescent="0.3"/>
  <cols>
    <col min="1" max="1" width="52.44140625" customWidth="1"/>
  </cols>
  <sheetData>
    <row r="1" spans="1:1" x14ac:dyDescent="0.3">
      <c r="A1" s="11"/>
    </row>
    <row r="2" spans="1:1" x14ac:dyDescent="0.3">
      <c r="A2" s="12" t="s">
        <v>484</v>
      </c>
    </row>
    <row r="3" spans="1:1" x14ac:dyDescent="0.3">
      <c r="A3" s="10" t="s">
        <v>448</v>
      </c>
    </row>
    <row r="4" spans="1:1" x14ac:dyDescent="0.3">
      <c r="A4" s="10" t="s">
        <v>447</v>
      </c>
    </row>
    <row r="5" spans="1:1" x14ac:dyDescent="0.3">
      <c r="A5" s="10" t="s">
        <v>459</v>
      </c>
    </row>
    <row r="6" spans="1:1" x14ac:dyDescent="0.3">
      <c r="A6" s="10" t="s">
        <v>443</v>
      </c>
    </row>
    <row r="7" spans="1:1" x14ac:dyDescent="0.3">
      <c r="A7" s="10" t="s">
        <v>444</v>
      </c>
    </row>
    <row r="8" spans="1:1" x14ac:dyDescent="0.3">
      <c r="A8" s="10" t="s">
        <v>460</v>
      </c>
    </row>
    <row r="9" spans="1:1" x14ac:dyDescent="0.3">
      <c r="A9" s="10" t="s">
        <v>436</v>
      </c>
    </row>
    <row r="10" spans="1:1" x14ac:dyDescent="0.3">
      <c r="A10" s="10" t="s">
        <v>461</v>
      </c>
    </row>
    <row r="11" spans="1:1" x14ac:dyDescent="0.3">
      <c r="A11" s="10" t="s">
        <v>456</v>
      </c>
    </row>
    <row r="12" spans="1:1" x14ac:dyDescent="0.3">
      <c r="A12" s="10" t="s">
        <v>462</v>
      </c>
    </row>
    <row r="13" spans="1:1" x14ac:dyDescent="0.3">
      <c r="A13" s="10" t="s">
        <v>434</v>
      </c>
    </row>
    <row r="14" spans="1:1" x14ac:dyDescent="0.3">
      <c r="A14" s="10" t="s">
        <v>458</v>
      </c>
    </row>
    <row r="15" spans="1:1" x14ac:dyDescent="0.3">
      <c r="A15" s="10" t="s">
        <v>463</v>
      </c>
    </row>
    <row r="16" spans="1:1" x14ac:dyDescent="0.3">
      <c r="A16" s="10" t="s">
        <v>464</v>
      </c>
    </row>
    <row r="17" spans="1:1" x14ac:dyDescent="0.3">
      <c r="A17" s="10" t="s">
        <v>455</v>
      </c>
    </row>
    <row r="18" spans="1:1" x14ac:dyDescent="0.3">
      <c r="A18" s="10" t="s">
        <v>435</v>
      </c>
    </row>
    <row r="19" spans="1:1" x14ac:dyDescent="0.3">
      <c r="A19" s="10" t="s">
        <v>465</v>
      </c>
    </row>
    <row r="20" spans="1:1" x14ac:dyDescent="0.3">
      <c r="A20" s="10" t="s">
        <v>454</v>
      </c>
    </row>
    <row r="21" spans="1:1" x14ac:dyDescent="0.3">
      <c r="A21" s="10" t="s">
        <v>457</v>
      </c>
    </row>
    <row r="22" spans="1:1" x14ac:dyDescent="0.3">
      <c r="A22" s="10" t="s">
        <v>466</v>
      </c>
    </row>
    <row r="23" spans="1:1" x14ac:dyDescent="0.3">
      <c r="A23" s="10" t="s">
        <v>467</v>
      </c>
    </row>
    <row r="24" spans="1:1" x14ac:dyDescent="0.3">
      <c r="A24" s="10" t="s">
        <v>468</v>
      </c>
    </row>
    <row r="25" spans="1:1" x14ac:dyDescent="0.3">
      <c r="A25" s="10" t="s">
        <v>469</v>
      </c>
    </row>
    <row r="26" spans="1:1" x14ac:dyDescent="0.3">
      <c r="A26" s="10" t="s">
        <v>470</v>
      </c>
    </row>
    <row r="27" spans="1:1" x14ac:dyDescent="0.3">
      <c r="A27" s="10" t="s">
        <v>471</v>
      </c>
    </row>
    <row r="28" spans="1:1" x14ac:dyDescent="0.3">
      <c r="A28" s="10" t="s">
        <v>431</v>
      </c>
    </row>
    <row r="29" spans="1:1" x14ac:dyDescent="0.3">
      <c r="A29" s="10" t="s">
        <v>432</v>
      </c>
    </row>
    <row r="30" spans="1:1" x14ac:dyDescent="0.3">
      <c r="A30" s="10" t="s">
        <v>433</v>
      </c>
    </row>
    <row r="31" spans="1:1" x14ac:dyDescent="0.3">
      <c r="A31" s="10" t="s">
        <v>472</v>
      </c>
    </row>
    <row r="32" spans="1:1" x14ac:dyDescent="0.3">
      <c r="A32" s="10" t="s">
        <v>473</v>
      </c>
    </row>
    <row r="33" spans="1:1" x14ac:dyDescent="0.3">
      <c r="A33" s="10" t="s">
        <v>440</v>
      </c>
    </row>
    <row r="34" spans="1:1" x14ac:dyDescent="0.3">
      <c r="A34" s="10" t="s">
        <v>446</v>
      </c>
    </row>
    <row r="35" spans="1:1" x14ac:dyDescent="0.3">
      <c r="A35" s="10" t="s">
        <v>474</v>
      </c>
    </row>
    <row r="36" spans="1:1" x14ac:dyDescent="0.3">
      <c r="A36" s="10" t="s">
        <v>475</v>
      </c>
    </row>
    <row r="37" spans="1:1" x14ac:dyDescent="0.3">
      <c r="A37" s="10" t="s">
        <v>450</v>
      </c>
    </row>
    <row r="38" spans="1:1" x14ac:dyDescent="0.3">
      <c r="A38" s="10" t="s">
        <v>445</v>
      </c>
    </row>
    <row r="39" spans="1:1" x14ac:dyDescent="0.3">
      <c r="A39" s="10" t="s">
        <v>476</v>
      </c>
    </row>
    <row r="40" spans="1:1" x14ac:dyDescent="0.3">
      <c r="A40" s="10" t="s">
        <v>477</v>
      </c>
    </row>
    <row r="41" spans="1:1" x14ac:dyDescent="0.3">
      <c r="A41" s="10" t="s">
        <v>478</v>
      </c>
    </row>
    <row r="42" spans="1:1" x14ac:dyDescent="0.3">
      <c r="A42" s="10" t="s">
        <v>449</v>
      </c>
    </row>
    <row r="43" spans="1:1" x14ac:dyDescent="0.3">
      <c r="A43" s="10" t="s">
        <v>479</v>
      </c>
    </row>
    <row r="44" spans="1:1" x14ac:dyDescent="0.3">
      <c r="A44" s="10" t="s">
        <v>439</v>
      </c>
    </row>
    <row r="45" spans="1:1" x14ac:dyDescent="0.3">
      <c r="A45" s="10" t="s">
        <v>441</v>
      </c>
    </row>
    <row r="46" spans="1:1" x14ac:dyDescent="0.3">
      <c r="A46" s="10" t="s">
        <v>480</v>
      </c>
    </row>
    <row r="47" spans="1:1" x14ac:dyDescent="0.3">
      <c r="A47" s="10" t="s">
        <v>438</v>
      </c>
    </row>
    <row r="48" spans="1:1" x14ac:dyDescent="0.3">
      <c r="A48" s="10" t="s">
        <v>481</v>
      </c>
    </row>
    <row r="49" spans="1:1" x14ac:dyDescent="0.3">
      <c r="A49" s="10" t="s">
        <v>442</v>
      </c>
    </row>
    <row r="50" spans="1:1" x14ac:dyDescent="0.3">
      <c r="A50" s="10" t="s">
        <v>478</v>
      </c>
    </row>
    <row r="51" spans="1:1" x14ac:dyDescent="0.3">
      <c r="A51" s="10" t="s">
        <v>451</v>
      </c>
    </row>
    <row r="52" spans="1:1" x14ac:dyDescent="0.3">
      <c r="A52" s="10" t="s">
        <v>482</v>
      </c>
    </row>
    <row r="53" spans="1:1" x14ac:dyDescent="0.3">
      <c r="A53" s="10" t="s">
        <v>437</v>
      </c>
    </row>
    <row r="54" spans="1:1" x14ac:dyDescent="0.3">
      <c r="A54" s="10" t="s">
        <v>483</v>
      </c>
    </row>
    <row r="55" spans="1:1" x14ac:dyDescent="0.3">
      <c r="A55" s="10" t="s">
        <v>452</v>
      </c>
    </row>
    <row r="56" spans="1:1" x14ac:dyDescent="0.3">
      <c r="A56" s="10" t="s">
        <v>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Выбор региона</vt:lpstr>
      <vt:lpstr>Выбор города</vt:lpstr>
      <vt:lpstr>ТЗ_Подбор В2В клиентов</vt:lpstr>
      <vt:lpstr>Атрибуты_Подбор В2В клиентов</vt:lpstr>
      <vt:lpstr>Пример_Подбор В2В клиентов</vt:lpstr>
      <vt:lpstr>МСС группы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2025-12-15T07:50:54Z</dcterms:modified>
</cp:coreProperties>
</file>